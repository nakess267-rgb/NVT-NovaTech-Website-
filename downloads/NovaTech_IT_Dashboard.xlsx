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ickets" sheetId="2" state="visible" r:id="rId4"/>
    <sheet name="Hardware" sheetId="3" state="visible" r:id="rId5"/>
    <sheet name="ChangeRequests" sheetId="4" state="visible" r:id="rId6"/>
    <sheet name="Calc" sheetId="5" state="visible" r:id="rId7"/>
    <sheet name="Lists" sheetId="6" state="visible" r:id="rId8"/>
    <sheet name="Guide" sheetId="7" state="visible" r:id="rId9"/>
  </sheets>
  <definedNames>
    <definedName function="false" hidden="true" localSheetId="3" name="_xlnm._FilterDatabase" vbProcedure="false">ChangeRequests!$A$1:$G$41</definedName>
    <definedName function="false" hidden="false" localSheetId="0" name="_xlnm.Print_Area" vbProcedure="false">Dashboard!$A$1:$N$57</definedName>
    <definedName function="false" hidden="true" localSheetId="2" name="_xlnm._FilterDatabase" vbProcedure="false">Hardware!$A$1:$F$41</definedName>
    <definedName function="false" hidden="true" localSheetId="1" name="_xlnm._FilterDatabase" vbProcedure="false">Tickets!$A$1:$I$61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<sst xmlns="http://schemas.openxmlformats.org/spreadsheetml/2006/main" count="261" uniqueCount="133">
  <si>
    <t xml:space="preserve">NovaTech GA Solutions  |  IT Support Dashboard</t>
  </si>
  <si>
    <t xml:space="preserve">Sample data shown - replace the rows on the Tickets, Hardware and ChangeRequests sheets with live data and everything updates.</t>
  </si>
  <si>
    <t xml:space="preserve">CATEGORY</t>
  </si>
  <si>
    <t xml:space="preserve">PRIORITY</t>
  </si>
  <si>
    <t xml:space="preserve">MONTH</t>
  </si>
  <si>
    <t xml:space="preserve">Yellow cells are filters. Category &amp; Priority filter tickets; Month filters tickets, hardware and change requests.</t>
  </si>
  <si>
    <t xml:space="preserve">All</t>
  </si>
  <si>
    <t xml:space="preserve">TOTAL TICKETS LOGGED</t>
  </si>
  <si>
    <t xml:space="preserve">OPEN / IN PROGRESS</t>
  </si>
  <si>
    <t xml:space="preserve">AVG RESOLUTION TIME</t>
  </si>
  <si>
    <t xml:space="preserve">HARDWARE REPLACED</t>
  </si>
  <si>
    <t xml:space="preserve">CHANGES APPROVED</t>
  </si>
  <si>
    <t xml:space="preserve">CHANGES DECLINED</t>
  </si>
  <si>
    <t xml:space="preserve">Technicians:  S. Naidoo (Network &amp; Connectivity)   |   L. Dlamini (Account &amp; Access)   |   R. Botha (Hardware)   |   K. Van Wyk (Software)</t>
  </si>
  <si>
    <t xml:space="preserve">Ticket ID</t>
  </si>
  <si>
    <t xml:space="preserve">Date Logged</t>
  </si>
  <si>
    <t xml:space="preserve">Category</t>
  </si>
  <si>
    <t xml:space="preserve">Priority</t>
  </si>
  <si>
    <t xml:space="preserve">Status</t>
  </si>
  <si>
    <t xml:space="preserve">Assigned Technician</t>
  </si>
  <si>
    <t xml:space="preserve">Date Resolved</t>
  </si>
  <si>
    <t xml:space="preserve">Resolution Time (hrs)</t>
  </si>
  <si>
    <t xml:space="preserve">Month</t>
  </si>
  <si>
    <t xml:space="preserve">Columns F, H and I are formulas (pre-filled to row 61). Type or paste new tickets into columns A-E and G.</t>
  </si>
  <si>
    <t xml:space="preserve">NVT-0001</t>
  </si>
  <si>
    <t xml:space="preserve">Network &amp; Connectivity</t>
  </si>
  <si>
    <t xml:space="preserve">High</t>
  </si>
  <si>
    <t xml:space="preserve">Resolved</t>
  </si>
  <si>
    <t xml:space="preserve">NVT-0002</t>
  </si>
  <si>
    <t xml:space="preserve">Account &amp; Access</t>
  </si>
  <si>
    <t xml:space="preserve">Medium</t>
  </si>
  <si>
    <t xml:space="preserve">NVT-0003</t>
  </si>
  <si>
    <t xml:space="preserve">Hardware</t>
  </si>
  <si>
    <t xml:space="preserve">NVT-0004</t>
  </si>
  <si>
    <t xml:space="preserve">Software</t>
  </si>
  <si>
    <t xml:space="preserve">Low</t>
  </si>
  <si>
    <t xml:space="preserve">NVT-0005</t>
  </si>
  <si>
    <t xml:space="preserve">NVT-0006</t>
  </si>
  <si>
    <t xml:space="preserve">NVT-0007</t>
  </si>
  <si>
    <t xml:space="preserve">Critical</t>
  </si>
  <si>
    <t xml:space="preserve">NVT-0008</t>
  </si>
  <si>
    <t xml:space="preserve">NVT-0009</t>
  </si>
  <si>
    <t xml:space="preserve">NVT-0010</t>
  </si>
  <si>
    <t xml:space="preserve">NVT-0011</t>
  </si>
  <si>
    <t xml:space="preserve">NVT-0012</t>
  </si>
  <si>
    <t xml:space="preserve">NVT-0013</t>
  </si>
  <si>
    <t xml:space="preserve">In Progress</t>
  </si>
  <si>
    <t xml:space="preserve">NVT-0014</t>
  </si>
  <si>
    <t xml:space="preserve">Open</t>
  </si>
  <si>
    <t xml:space="preserve">NVT-0015</t>
  </si>
  <si>
    <t xml:space="preserve">Record ID</t>
  </si>
  <si>
    <t xml:space="preserve">Date</t>
  </si>
  <si>
    <t xml:space="preserve">Item Type</t>
  </si>
  <si>
    <t xml:space="preserve">Outcome</t>
  </si>
  <si>
    <t xml:space="preserve">HW-001</t>
  </si>
  <si>
    <t xml:space="preserve">Laptop</t>
  </si>
  <si>
    <t xml:space="preserve">Replaced</t>
  </si>
  <si>
    <t xml:space="preserve">HW-002</t>
  </si>
  <si>
    <t xml:space="preserve">Monitor</t>
  </si>
  <si>
    <t xml:space="preserve">HW-003</t>
  </si>
  <si>
    <t xml:space="preserve">Repaired</t>
  </si>
  <si>
    <t xml:space="preserve">HW-004</t>
  </si>
  <si>
    <t xml:space="preserve">Keyboard / Mouse</t>
  </si>
  <si>
    <t xml:space="preserve">Pending</t>
  </si>
  <si>
    <t xml:space="preserve">HW-005</t>
  </si>
  <si>
    <t xml:space="preserve">Desktop</t>
  </si>
  <si>
    <t xml:space="preserve">CR ID</t>
  </si>
  <si>
    <t xml:space="preserve">Date Submitted</t>
  </si>
  <si>
    <t xml:space="preserve">Change Title</t>
  </si>
  <si>
    <t xml:space="preserve">Change Type</t>
  </si>
  <si>
    <t xml:space="preserve">Department</t>
  </si>
  <si>
    <t xml:space="preserve">Decision</t>
  </si>
  <si>
    <t xml:space="preserve">CR-001</t>
  </si>
  <si>
    <t xml:space="preserve">Upgrade office Wi-Fi access points</t>
  </si>
  <si>
    <t xml:space="preserve">Normal</t>
  </si>
  <si>
    <t xml:space="preserve">IT</t>
  </si>
  <si>
    <t xml:space="preserve">Approved</t>
  </si>
  <si>
    <t xml:space="preserve">CR-002</t>
  </si>
  <si>
    <t xml:space="preserve">Roll out multi-factor authentication</t>
  </si>
  <si>
    <t xml:space="preserve">Standard</t>
  </si>
  <si>
    <t xml:space="preserve">CR-003</t>
  </si>
  <si>
    <t xml:space="preserve">Allow personal USB storage devices</t>
  </si>
  <si>
    <t xml:space="preserve">Sales</t>
  </si>
  <si>
    <t xml:space="preserve">Declined</t>
  </si>
  <si>
    <t xml:space="preserve">CR-004</t>
  </si>
  <si>
    <t xml:space="preserve">Migrate shared drive to cloud storage</t>
  </si>
  <si>
    <t xml:space="preserve">Operations</t>
  </si>
  <si>
    <t xml:space="preserve">CR-005</t>
  </si>
  <si>
    <t xml:space="preserve">Replace ageing laptops</t>
  </si>
  <si>
    <t xml:space="preserve">Finance</t>
  </si>
  <si>
    <t xml:space="preserve">CR-006</t>
  </si>
  <si>
    <t xml:space="preserve">Reduce helpdesk working hours</t>
  </si>
  <si>
    <t xml:space="preserve">HR</t>
  </si>
  <si>
    <t xml:space="preserve">CR-007</t>
  </si>
  <si>
    <t xml:space="preserve">Install new VPN client</t>
  </si>
  <si>
    <t xml:space="preserve">CR-008</t>
  </si>
  <si>
    <t xml:space="preserve">Upgrade accounting software</t>
  </si>
  <si>
    <t xml:space="preserve">Chart data &amp; filter criteria (formulas - do not overwrite)</t>
  </si>
  <si>
    <t xml:space="preserve">Category criterion</t>
  </si>
  <si>
    <t xml:space="preserve">Priority criterion</t>
  </si>
  <si>
    <t xml:space="preserve">Month criterion</t>
  </si>
  <si>
    <t xml:space="preserve">Tickets</t>
  </si>
  <si>
    <t xml:space="preserve">Avg resolution (hrs)</t>
  </si>
  <si>
    <t xml:space="preserve">Chart label</t>
  </si>
  <si>
    <t xml:space="preserve">Month (trend ignores Month filter)</t>
  </si>
  <si>
    <t xml:space="preserve">2026-07</t>
  </si>
  <si>
    <t xml:space="preserve">2026-08</t>
  </si>
  <si>
    <t xml:space="preserve">2026-09</t>
  </si>
  <si>
    <t xml:space="preserve">2026-10</t>
  </si>
  <si>
    <t xml:space="preserve">Priority (ignores Priority filter)</t>
  </si>
  <si>
    <t xml:space="preserve">Hardware item</t>
  </si>
  <si>
    <t xml:space="preserve">Printer</t>
  </si>
  <si>
    <t xml:space="preserve">Change decision</t>
  </si>
  <si>
    <t xml:space="preserve">Requests</t>
  </si>
  <si>
    <t xml:space="preserve">Category / Department</t>
  </si>
  <si>
    <t xml:space="preserve">Hardware outcome</t>
  </si>
  <si>
    <t xml:space="preserve">CR decision</t>
  </si>
  <si>
    <t xml:space="preserve">Category filter</t>
  </si>
  <si>
    <t xml:space="preserve">Priority filter</t>
  </si>
  <si>
    <t xml:space="preserve">Month filter</t>
  </si>
  <si>
    <t xml:space="preserve">Technician (same row as category)</t>
  </si>
  <si>
    <t xml:space="preserve">S. Naidoo</t>
  </si>
  <si>
    <t xml:space="preserve">L. Dlamini</t>
  </si>
  <si>
    <t xml:space="preserve">R. Botha</t>
  </si>
  <si>
    <t xml:space="preserve">K. Van Wyk</t>
  </si>
  <si>
    <t xml:space="preserve">How to use this workbook</t>
  </si>
  <si>
    <t xml:space="preserve">1. Dashboard: pick a Category, Priority and/or Month in the yellow cells. All KPIs and charts update.</t>
  </si>
  <si>
    <t xml:space="preserve">2. Tickets / Hardware / ChangeRequests: the data. All rows currently contain SAMPLE data (15 tickets, 5 hardware records, 8 change requests) - overwrite with your own.</t>
  </si>
  <si>
    <t xml:space="preserve">3. Tickets column F (technician) is looked up from the category using the table on the Lists sheet: S. Naidoo - Network &amp; Connectivity, L. Dlamini - Account &amp; Access, R. Botha - Hardware, K. Van Wyk - Software.</t>
  </si>
  <si>
    <t xml:space="preserve">4. Tickets columns F, H, I, Hardware column F and ChangeRequests column G are formulas, pre-filled below the sample rows. Do not overwrite.</t>
  </si>
  <si>
    <t xml:space="preserve">5. Resolution time = Date Resolved minus Date Logged, in hours. Only resolved tickets are averaged.</t>
  </si>
  <si>
    <t xml:space="preserve">6. Export to PDF: File &gt; Export &gt; PDF (the Dashboard sheet is set to print on one page).</t>
  </si>
  <si>
    <t xml:space="preserve">7. Optional real slicers: Insert &gt; PivotTable on the Tickets range, then Insert &gt; Slicer. The dropdown filters on the Dashboard work without this.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</si>
</sst>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&quot; hrs&quot;"/>
    <numFmt numFmtId="167" formatCode="yyyy\-mm\-dd\ hh:mm"/>
    <numFmt numFmtId="168" formatCode="0.0"/>
    <numFmt numFmtId="169" formatCode="yyyy\-mm\-dd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2A9D8F"/>
      <name val="Arial"/>
      <family val="0"/>
      <charset val="1"/>
    </font>
    <font>
      <b val="true"/>
      <sz val="22"/>
      <color rgb="FFE9A23B"/>
      <name val="Arial"/>
      <family val="0"/>
      <charset val="1"/>
    </font>
    <font>
      <b val="true"/>
      <sz val="22"/>
      <color rgb="FF5B9E5B"/>
      <name val="Arial"/>
      <family val="0"/>
      <charset val="1"/>
    </font>
    <font>
      <b val="true"/>
      <sz val="22"/>
      <color rgb="FFC0504D"/>
      <name val="Arial"/>
      <family val="0"/>
      <charset val="1"/>
    </font>
    <font>
      <i val="true"/>
      <sz val="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3F6FA"/>
      </patternFill>
    </fill>
    <fill>
      <patternFill patternType="solid">
        <fgColor rgb="FFFFF2CC"/>
        <bgColor rgb="FFF3F6FA"/>
      </patternFill>
    </fill>
    <fill>
      <patternFill patternType="solid">
        <fgColor rgb="FF2E75B6"/>
        <bgColor rgb="FF4F81BD"/>
      </patternFill>
    </fill>
    <fill>
      <patternFill patternType="solid">
        <fgColor rgb="FF2A9D8F"/>
        <bgColor rgb="FF5B9E5B"/>
      </patternFill>
    </fill>
    <fill>
      <patternFill patternType="solid">
        <fgColor rgb="FFE9A23B"/>
        <bgColor rgb="FFFF8080"/>
      </patternFill>
    </fill>
    <fill>
      <patternFill patternType="solid">
        <fgColor rgb="FF5B9E5B"/>
        <bgColor rgb="FF2A9D8F"/>
      </patternFill>
    </fill>
    <fill>
      <patternFill patternType="solid">
        <fgColor rgb="FFC0504D"/>
        <bgColor rgb="FF993366"/>
      </patternFill>
    </fill>
    <fill>
      <patternFill patternType="solid">
        <fgColor rgb="FFF3F6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  <border diagonalUp="false" diagonalDown="false">
      <left style="thin">
        <color rgb="FFBFC9D6"/>
      </left>
      <right style="thin">
        <color rgb="FFBFC9D6"/>
      </right>
      <top/>
      <bottom style="thin">
        <color rgb="FFBF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9E5B"/>
      <rgbColor rgb="FF800080"/>
      <rgbColor rgb="FF4F81BD"/>
      <rgbColor rgb="FFBFC9D6"/>
      <rgbColor rgb="FF878787"/>
      <rgbColor rgb="FF9999FF"/>
      <rgbColor rgb="FFC0504D"/>
      <rgbColor rgb="FFFFF2CC"/>
      <rgbColor rgb="FFE3E8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E9A23B"/>
      <rgbColor rgb="FFFF6600"/>
      <rgbColor rgb="FF666666"/>
      <rgbColor rgb="FF8C98A8"/>
      <rgbColor rgb="FF1F3864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per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Calc!B7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Calc!$A$8:$A$11</c:f>
              <c:strCache>
                <c:ptCount val="4"/>
                <c:pt idx="0">
                  <c:v>Network &amp; Connectivity</c:v>
                </c:pt>
                <c:pt idx="1">
                  <c:v>Account &amp; Access</c:v>
                </c:pt>
                <c:pt idx="2">
                  <c:v>Hardware</c:v>
                </c:pt>
                <c:pt idx="3">
                  <c:v>Software</c:v>
                </c:pt>
              </c:strCache>
            </c:strRef>
          </c:cat>
          <c:val>
            <c:numRef>
              <c:f>Calc!$B$8:$B$11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</c:ser>
        <c:gapWidth val="60"/>
        <c:overlap val="0"/>
        <c:axId val="33091725"/>
        <c:axId val="98850586"/>
      </c:barChart>
      <c:catAx>
        <c:axId val="330917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50586"/>
        <c:crosses val="autoZero"/>
        <c:auto val="1"/>
        <c:lblAlgn val="ctr"/>
        <c:lblOffset val="100"/>
        <c:noMultiLvlLbl val="0"/>
      </c:catAx>
      <c:valAx>
        <c:axId val="98850586"/>
        <c:scaling>
          <c:orientation val="minMax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917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logged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Calc!B17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2e75b6"/>
            </a:solidFill>
            <a:ln w="298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Calc!$A$18:$A$21</c:f>
              <c:strCache>
                <c:ptCount val="4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  <c:pt idx="3">
                  <c:v>2026-10</c:v>
                </c:pt>
              </c:strCache>
            </c:strRef>
          </c:cat>
          <c:val>
            <c:numRef>
              <c:f>Calc!$B$18:$B$21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962587"/>
        <c:axId val="74359606"/>
      </c:lineChart>
      <c:catAx>
        <c:axId val="98962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59606"/>
        <c:crosses val="autoZero"/>
        <c:auto val="1"/>
        <c:lblAlgn val="ctr"/>
        <c:lblOffset val="100"/>
        <c:noMultiLvlLbl val="0"/>
      </c:catAx>
      <c:valAx>
        <c:axId val="7435960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6258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resolution time by category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Calc!C7</c:f>
              <c:strCache>
                <c:ptCount val="1"/>
                <c:pt idx="0">
                  <c:v>Avg resolution (hrs)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Calc!$A$8:$A$11</c:f>
              <c:strCache>
                <c:ptCount val="4"/>
                <c:pt idx="0">
                  <c:v>Network &amp; Connectivity</c:v>
                </c:pt>
                <c:pt idx="1">
                  <c:v>Account &amp; Access</c:v>
                </c:pt>
                <c:pt idx="2">
                  <c:v>Hardware</c:v>
                </c:pt>
                <c:pt idx="3">
                  <c:v>Software</c:v>
                </c:pt>
              </c:strCache>
            </c:strRef>
          </c:cat>
          <c:val>
            <c:numRef>
              <c:f>Calc!$C$8:$C$11</c:f>
              <c:numCache>
                <c:formatCode>General</c:formatCode>
                <c:ptCount val="4"/>
                <c:pt idx="0">
                  <c:v>16.8</c:v>
                </c:pt>
                <c:pt idx="1">
                  <c:v>3.5</c:v>
                </c:pt>
                <c:pt idx="2">
                  <c:v>31.7</c:v>
                </c:pt>
                <c:pt idx="3">
                  <c:v>32.5</c:v>
                </c:pt>
              </c:numCache>
            </c:numRef>
          </c:val>
        </c:ser>
        <c:gapWidth val="60"/>
        <c:overlap val="0"/>
        <c:axId val="3285804"/>
        <c:axId val="65782804"/>
      </c:barChart>
      <c:catAx>
        <c:axId val="32858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82804"/>
        <c:crosses val="autoZero"/>
        <c:auto val="1"/>
        <c:lblAlgn val="ctr"/>
        <c:lblOffset val="100"/>
        <c:noMultiLvlLbl val="0"/>
      </c:catAx>
      <c:valAx>
        <c:axId val="65782804"/>
        <c:scaling>
          <c:orientation val="minMax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5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Calc!B25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9dc3e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9a23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Calc!$A$26:$A$29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Calc!$B$26:$B$29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gapWidth val="60"/>
        <c:overlap val="0"/>
        <c:axId val="72817936"/>
        <c:axId val="20237248"/>
      </c:barChart>
      <c:catAx>
        <c:axId val="7281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37248"/>
        <c:crosses val="autoZero"/>
        <c:auto val="1"/>
        <c:lblAlgn val="ctr"/>
        <c:lblOffset val="100"/>
        <c:noMultiLvlLbl val="0"/>
      </c:catAx>
      <c:valAx>
        <c:axId val="20237248"/>
        <c:scaling>
          <c:orientation val="minMax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17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Hardware replacement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Calc!B31</c:f>
              <c:strCache>
                <c:ptCount val="1"/>
                <c:pt idx="0">
                  <c:v>Replaced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Calc!$A$32:$A$36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Keyboard / Mouse</c:v>
                </c:pt>
                <c:pt idx="4">
                  <c:v>Printer</c:v>
                </c:pt>
              </c:strCache>
            </c:strRef>
          </c:cat>
          <c:val>
            <c:numRef>
              <c:f>Calc!$B$32:$B$36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Calc!C31</c:f>
              <c:strCache>
                <c:ptCount val="1"/>
                <c:pt idx="0">
                  <c:v>Repaired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Calc!$A$32:$A$36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Keyboard / Mouse</c:v>
                </c:pt>
                <c:pt idx="4">
                  <c:v>Printer</c:v>
                </c:pt>
              </c:strCache>
            </c:strRef>
          </c:cat>
          <c:val>
            <c:numRef>
              <c:f>Calc!$C$32:$C$36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Calc!D31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e9a2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Calc!$A$32:$A$36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Monitor</c:v>
                </c:pt>
                <c:pt idx="3">
                  <c:v>Keyboard / Mouse</c:v>
                </c:pt>
                <c:pt idx="4">
                  <c:v>Printer</c:v>
                </c:pt>
              </c:strCache>
            </c:strRef>
          </c:cat>
          <c:val>
            <c:numRef>
              <c:f>Calc!$D$32:$D$36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50"/>
        <c:overlap val="100"/>
        <c:axId val="7347509"/>
        <c:axId val="92249278"/>
      </c:barChart>
      <c:catAx>
        <c:axId val="73475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49278"/>
        <c:crosses val="autoZero"/>
        <c:auto val="1"/>
        <c:lblAlgn val="ctr"/>
        <c:lblOffset val="100"/>
        <c:noMultiLvlLbl val="0"/>
      </c:catAx>
      <c:valAx>
        <c:axId val="92249278"/>
        <c:scaling>
          <c:orientation val="minMax"/>
        </c:scaling>
        <c:delete val="0"/>
        <c:axPos val="l"/>
        <c:majorGridlines>
          <c:spPr>
            <a:ln w="9360">
              <a:solidFill>
                <a:srgbClr val="e3e8ef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509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 requests: approved / declined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Calc!B41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b9e5b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c98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eparator>; </c:separator>
            <c:showLeaderLines val="1"/>
          </c:dLbls>
          <c:cat>
            <c:strRef>
              <c:f>Calc!$A$42:$A$44</c:f>
              <c:strCache>
                <c:ptCount val="3"/>
                <c:pt idx="0">
                  <c:v>Approved</c:v>
                </c:pt>
                <c:pt idx="1">
                  <c:v>Declined</c:v>
                </c:pt>
                <c:pt idx="2">
                  <c:v>Pending</c:v>
                </c:pt>
              </c:strCache>
            </c:strRef>
          </c:cat>
          <c:val>
            <c:numRef>
              <c:f>Calc!$B$42:$B$44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731160</xdr:colOff>
      <xdr:row>24</xdr:row>
      <xdr:rowOff>115200</xdr:rowOff>
    </xdr:to>
    <xdr:graphicFrame>
      <xdr:nvGraphicFramePr>
        <xdr:cNvPr id="0" name="Chart 1"/>
        <xdr:cNvGraphicFramePr/>
      </xdr:nvGraphicFramePr>
      <xdr:xfrm>
        <a:off x="141120" y="276228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12</xdr:col>
      <xdr:colOff>731160</xdr:colOff>
      <xdr:row>24</xdr:row>
      <xdr:rowOff>115200</xdr:rowOff>
    </xdr:to>
    <xdr:graphicFrame>
      <xdr:nvGraphicFramePr>
        <xdr:cNvPr id="1" name="Chart 2"/>
        <xdr:cNvGraphicFramePr/>
      </xdr:nvGraphicFramePr>
      <xdr:xfrm>
        <a:off x="4793040" y="276228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731160</xdr:colOff>
      <xdr:row>39</xdr:row>
      <xdr:rowOff>114840</xdr:rowOff>
    </xdr:to>
    <xdr:graphicFrame>
      <xdr:nvGraphicFramePr>
        <xdr:cNvPr id="2" name="Chart 3"/>
        <xdr:cNvGraphicFramePr/>
      </xdr:nvGraphicFramePr>
      <xdr:xfrm>
        <a:off x="141120" y="561960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12</xdr:col>
      <xdr:colOff>731160</xdr:colOff>
      <xdr:row>39</xdr:row>
      <xdr:rowOff>114840</xdr:rowOff>
    </xdr:to>
    <xdr:graphicFrame>
      <xdr:nvGraphicFramePr>
        <xdr:cNvPr id="3" name="Chart 4"/>
        <xdr:cNvGraphicFramePr/>
      </xdr:nvGraphicFramePr>
      <xdr:xfrm>
        <a:off x="4793040" y="561960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731160</xdr:colOff>
      <xdr:row>54</xdr:row>
      <xdr:rowOff>115200</xdr:rowOff>
    </xdr:to>
    <xdr:graphicFrame>
      <xdr:nvGraphicFramePr>
        <xdr:cNvPr id="4" name="Chart 5"/>
        <xdr:cNvGraphicFramePr/>
      </xdr:nvGraphicFramePr>
      <xdr:xfrm>
        <a:off x="141120" y="847728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12</xdr:col>
      <xdr:colOff>731160</xdr:colOff>
      <xdr:row>54</xdr:row>
      <xdr:rowOff>115200</xdr:rowOff>
    </xdr:to>
    <xdr:graphicFrame>
      <xdr:nvGraphicFramePr>
        <xdr:cNvPr id="5" name="Chart 6"/>
        <xdr:cNvGraphicFramePr/>
      </xdr:nvGraphicFramePr>
      <xdr:xfrm>
        <a:off x="4793040" y="8477280"/>
        <a:ext cx="46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253440</xdr:colOff>
      <xdr:row>1</xdr:row>
      <xdr:rowOff>380520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7894440" y="0"/>
          <a:ext cx="1028520" cy="856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  <col collapsed="false" customWidth="true" hidden="false" outlineLevel="0" max="14" min="14" style="0" width="2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1"/>
    </row>
    <row r="2" customFormat="false" ht="37.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1"/>
    </row>
    <row r="3" customFormat="false" ht="15" hidden="false" customHeight="false" outlineLevel="0" collapsed="false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5" hidden="false" customHeight="true" outlineLevel="0" collapsed="false">
      <c r="B4" s="5" t="s">
        <v>2</v>
      </c>
      <c r="E4" s="5" t="s">
        <v>3</v>
      </c>
      <c r="H4" s="5" t="s">
        <v>4</v>
      </c>
      <c r="K4" s="6" t="s">
        <v>5</v>
      </c>
      <c r="L4" s="6"/>
      <c r="M4" s="6"/>
    </row>
    <row r="5" customFormat="false" ht="19.5" hidden="false" customHeight="true" outlineLevel="0" collapsed="false">
      <c r="B5" s="7" t="s">
        <v>6</v>
      </c>
      <c r="C5" s="7"/>
      <c r="E5" s="7" t="s">
        <v>6</v>
      </c>
      <c r="F5" s="7"/>
      <c r="H5" s="7" t="s">
        <v>6</v>
      </c>
      <c r="I5" s="7"/>
      <c r="K5" s="6"/>
      <c r="L5" s="6"/>
      <c r="M5" s="6"/>
    </row>
    <row r="7" customFormat="false" ht="18" hidden="false" customHeight="true" outlineLevel="0" collapsed="false">
      <c r="B7" s="8" t="s">
        <v>7</v>
      </c>
      <c r="C7" s="8"/>
      <c r="D7" s="9" t="s">
        <v>8</v>
      </c>
      <c r="E7" s="9"/>
      <c r="F7" s="10" t="s">
        <v>9</v>
      </c>
      <c r="G7" s="10"/>
      <c r="H7" s="11" t="s">
        <v>10</v>
      </c>
      <c r="I7" s="11"/>
      <c r="J7" s="12" t="s">
        <v>11</v>
      </c>
      <c r="K7" s="12"/>
      <c r="L7" s="13" t="s">
        <v>12</v>
      </c>
      <c r="M7" s="13"/>
    </row>
    <row r="8" customFormat="false" ht="15" hidden="false" customHeight="false" outlineLevel="0" collapsed="false">
      <c r="B8" s="14" t="n">
        <f aca="false">COUNTIFS(Tickets!$C$2:$C$61,Calc!$B$2,Tickets!$D$2:$D$61,Calc!$B$3,Tickets!$I$2:$I$61,Calc!$B$4)</f>
        <v>15</v>
      </c>
      <c r="C8" s="14"/>
      <c r="D8" s="15" t="n">
        <f aca="false">COUNTIFS(Tickets!$C$2:$C$61,Calc!$B$2,Tickets!$D$2:$D$61,Calc!$B$3,Tickets!$I$2:$I$61,Calc!$B$4,Tickets!$E$2:$E$61,"&lt;&gt;Resolved")</f>
        <v>3</v>
      </c>
      <c r="E8" s="15"/>
      <c r="F8" s="16" t="n">
        <f aca="false">IFERROR(AVERAGEIFS(Tickets!$H$2:$H$61,Tickets!$C$2:$C$61,Calc!$B$2,Tickets!$D$2:$D$61,Calc!$B$3,Tickets!$I$2:$I$61,Calc!$B$4),"n/a")</f>
        <v>21.125</v>
      </c>
      <c r="G8" s="16"/>
      <c r="H8" s="17" t="n">
        <f aca="false">COUNTIFS(Hardware!$E$2:$E$41,"Replaced",Hardware!$F$2:$F$41,Calc!$B$4)</f>
        <v>2</v>
      </c>
      <c r="I8" s="17"/>
      <c r="J8" s="18" t="n">
        <f aca="false">COUNTIFS(ChangeRequests!$F$2:$F$41,"Approved",ChangeRequests!$G$2:$G$41,Calc!$B$4)</f>
        <v>4</v>
      </c>
      <c r="K8" s="18"/>
      <c r="L8" s="19" t="n">
        <f aca="false">COUNTIFS(ChangeRequests!$F$2:$F$41,"Declined",ChangeRequests!$G$2:$G$41,Calc!$B$4)</f>
        <v>2</v>
      </c>
      <c r="M8" s="19"/>
    </row>
    <row r="9" customFormat="false" ht="15" hidden="false" customHeight="false" outlineLevel="0" collapsed="false">
      <c r="B9" s="14"/>
      <c r="C9" s="14"/>
      <c r="D9" s="15"/>
      <c r="E9" s="15"/>
      <c r="F9" s="16"/>
      <c r="G9" s="16"/>
      <c r="H9" s="17"/>
      <c r="I9" s="17"/>
      <c r="J9" s="18"/>
      <c r="K9" s="18"/>
      <c r="L9" s="19"/>
      <c r="M9" s="19"/>
    </row>
    <row r="10" customFormat="false" ht="15" hidden="false" customHeight="false" outlineLevel="0" collapsed="false">
      <c r="B10" s="20" t="s">
        <v>13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</sheetData>
  <mergeCells count="19">
    <mergeCell ref="B1:K2"/>
    <mergeCell ref="B3:M3"/>
    <mergeCell ref="K4:M5"/>
    <mergeCell ref="B5:C5"/>
    <mergeCell ref="E5:F5"/>
    <mergeCell ref="H5:I5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  <mergeCell ref="B10:M10"/>
  </mergeCells>
  <dataValidations count="3">
    <dataValidation allowBlank="false" errorStyle="stop" operator="between" prompt="Choose a value (or All)" promptTitle="Filter" showDropDown="false" showErrorMessage="false" showInputMessage="false" sqref="B5" type="list">
      <formula1>Lists!$I$2:$I$6</formula1>
      <formula2>0</formula2>
    </dataValidation>
    <dataValidation allowBlank="false" errorStyle="stop" operator="between" prompt="Choose a value (or All)" promptTitle="Filter" showDropDown="false" showErrorMessage="false" showInputMessage="false" sqref="E5" type="list">
      <formula1>Lists!$J$2:$J$6</formula1>
      <formula2>0</formula2>
    </dataValidation>
    <dataValidation allowBlank="false" errorStyle="stop" operator="between" prompt="Choose a value (or All)" promptTitle="Filter" showDropDown="false" showErrorMessage="false" showInputMessage="false" sqref="H5" type="list">
      <formula1>Lists!$K$2:$K$6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21" t="s">
        <v>14</v>
      </c>
      <c r="B1" s="21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  <c r="I1" s="21" t="s">
        <v>22</v>
      </c>
      <c r="K1" s="22" t="s">
        <v>23</v>
      </c>
    </row>
    <row r="2" customFormat="false" ht="15" hidden="false" customHeight="false" outlineLevel="0" collapsed="false">
      <c r="A2" s="23" t="s">
        <v>24</v>
      </c>
      <c r="B2" s="24" t="n">
        <v>46209.3888888889</v>
      </c>
      <c r="C2" s="23" t="s">
        <v>25</v>
      </c>
      <c r="D2" s="23" t="s">
        <v>26</v>
      </c>
      <c r="E2" s="23" t="s">
        <v>27</v>
      </c>
      <c r="F2" s="23" t="str">
        <f aca="false">IFERROR(INDEX(Lists!$M$2:$M$5,MATCH($C2,Lists!$A$2:$A$5,0)),"")</f>
        <v>S. Naidoo</v>
      </c>
      <c r="G2" s="24" t="n">
        <v>46209.6597222222</v>
      </c>
      <c r="H2" s="25" t="n">
        <f aca="false">IF(OR($B2="",$G2=""),"",ROUND(($G2-$B2)*24,1))</f>
        <v>6.5</v>
      </c>
      <c r="I2" s="23" t="str">
        <f aca="false">IF($B2="","",YEAR($B2)&amp;"-"&amp;TEXT(MONTH($B2),"00"))</f>
        <v>2026-07</v>
      </c>
    </row>
    <row r="3" customFormat="false" ht="15" hidden="false" customHeight="false" outlineLevel="0" collapsed="false">
      <c r="A3" s="23" t="s">
        <v>28</v>
      </c>
      <c r="B3" s="24" t="n">
        <v>46216.4236111111</v>
      </c>
      <c r="C3" s="23" t="s">
        <v>29</v>
      </c>
      <c r="D3" s="23" t="s">
        <v>30</v>
      </c>
      <c r="E3" s="23" t="s">
        <v>27</v>
      </c>
      <c r="F3" s="23" t="str">
        <f aca="false">IFERROR(INDEX(Lists!$M$2:$M$5,MATCH($C3,Lists!$A$2:$A$5,0)),"")</f>
        <v>L. Dlamini</v>
      </c>
      <c r="G3" s="24" t="n">
        <v>46216.5486111111</v>
      </c>
      <c r="H3" s="25" t="n">
        <f aca="false">IF(OR($B3="",$G3=""),"",ROUND(($G3-$B3)*24,1))</f>
        <v>3</v>
      </c>
      <c r="I3" s="23" t="str">
        <f aca="false">IF($B3="","",YEAR($B3)&amp;"-"&amp;TEXT(MONTH($B3),"00"))</f>
        <v>2026-07</v>
      </c>
    </row>
    <row r="4" customFormat="false" ht="15" hidden="false" customHeight="false" outlineLevel="0" collapsed="false">
      <c r="A4" s="23" t="s">
        <v>31</v>
      </c>
      <c r="B4" s="24" t="n">
        <v>46224.3611111111</v>
      </c>
      <c r="C4" s="23" t="s">
        <v>32</v>
      </c>
      <c r="D4" s="23" t="s">
        <v>30</v>
      </c>
      <c r="E4" s="23" t="s">
        <v>27</v>
      </c>
      <c r="F4" s="23" t="str">
        <f aca="false">IFERROR(INDEX(Lists!$M$2:$M$5,MATCH($C4,Lists!$A$2:$A$5,0)),"")</f>
        <v>R. Botha</v>
      </c>
      <c r="G4" s="24" t="n">
        <v>46225.6111111111</v>
      </c>
      <c r="H4" s="25" t="n">
        <f aca="false">IF(OR($B4="",$G4=""),"",ROUND(($G4-$B4)*24,1))</f>
        <v>30</v>
      </c>
      <c r="I4" s="23" t="str">
        <f aca="false">IF($B4="","",YEAR($B4)&amp;"-"&amp;TEXT(MONTH($B4),"00"))</f>
        <v>2026-07</v>
      </c>
    </row>
    <row r="5" customFormat="false" ht="15" hidden="false" customHeight="false" outlineLevel="0" collapsed="false">
      <c r="A5" s="23" t="s">
        <v>33</v>
      </c>
      <c r="B5" s="24" t="n">
        <v>46232.5625</v>
      </c>
      <c r="C5" s="23" t="s">
        <v>34</v>
      </c>
      <c r="D5" s="23" t="s">
        <v>35</v>
      </c>
      <c r="E5" s="23" t="s">
        <v>27</v>
      </c>
      <c r="F5" s="23" t="str">
        <f aca="false">IFERROR(INDEX(Lists!$M$2:$M$5,MATCH($C5,Lists!$A$2:$A$5,0)),"")</f>
        <v>K. Van Wyk</v>
      </c>
      <c r="G5" s="24" t="n">
        <v>46234.7291666667</v>
      </c>
      <c r="H5" s="25" t="n">
        <f aca="false">IF(OR($B5="",$G5=""),"",ROUND(($G5-$B5)*24,1))</f>
        <v>52</v>
      </c>
      <c r="I5" s="23" t="str">
        <f aca="false">IF($B5="","",YEAR($B5)&amp;"-"&amp;TEXT(MONTH($B5),"00"))</f>
        <v>2026-07</v>
      </c>
    </row>
    <row r="6" customFormat="false" ht="15" hidden="false" customHeight="false" outlineLevel="0" collapsed="false">
      <c r="A6" s="23" t="s">
        <v>36</v>
      </c>
      <c r="B6" s="24" t="n">
        <v>46239.4583333333</v>
      </c>
      <c r="C6" s="23" t="s">
        <v>29</v>
      </c>
      <c r="D6" s="23" t="s">
        <v>35</v>
      </c>
      <c r="E6" s="23" t="s">
        <v>27</v>
      </c>
      <c r="F6" s="23" t="str">
        <f aca="false">IFERROR(INDEX(Lists!$M$2:$M$5,MATCH($C6,Lists!$A$2:$A$5,0)),"")</f>
        <v>L. Dlamini</v>
      </c>
      <c r="G6" s="24" t="n">
        <v>46239.5625</v>
      </c>
      <c r="H6" s="25" t="n">
        <f aca="false">IF(OR($B6="",$G6=""),"",ROUND(($G6-$B6)*24,1))</f>
        <v>2.5</v>
      </c>
      <c r="I6" s="23" t="str">
        <f aca="false">IF($B6="","",YEAR($B6)&amp;"-"&amp;TEXT(MONTH($B6),"00"))</f>
        <v>2026-08</v>
      </c>
    </row>
    <row r="7" customFormat="false" ht="15" hidden="false" customHeight="false" outlineLevel="0" collapsed="false">
      <c r="A7" s="23" t="s">
        <v>37</v>
      </c>
      <c r="B7" s="24" t="n">
        <v>46246.375</v>
      </c>
      <c r="C7" s="23" t="s">
        <v>32</v>
      </c>
      <c r="D7" s="23" t="s">
        <v>26</v>
      </c>
      <c r="E7" s="23" t="s">
        <v>27</v>
      </c>
      <c r="F7" s="23" t="str">
        <f aca="false">IFERROR(INDEX(Lists!$M$2:$M$5,MATCH($C7,Lists!$A$2:$A$5,0)),"")</f>
        <v>R. Botha</v>
      </c>
      <c r="G7" s="24" t="n">
        <v>46247.25</v>
      </c>
      <c r="H7" s="25" t="n">
        <f aca="false">IF(OR($B7="",$G7=""),"",ROUND(($G7-$B7)*24,1))</f>
        <v>21</v>
      </c>
      <c r="I7" s="23" t="str">
        <f aca="false">IF($B7="","",YEAR($B7)&amp;"-"&amp;TEXT(MONTH($B7),"00"))</f>
        <v>2026-08</v>
      </c>
    </row>
    <row r="8" customFormat="false" ht="15" hidden="false" customHeight="false" outlineLevel="0" collapsed="false">
      <c r="A8" s="23" t="s">
        <v>38</v>
      </c>
      <c r="B8" s="24" t="n">
        <v>46254.59375</v>
      </c>
      <c r="C8" s="23" t="s">
        <v>25</v>
      </c>
      <c r="D8" s="23" t="s">
        <v>39</v>
      </c>
      <c r="E8" s="23" t="s">
        <v>27</v>
      </c>
      <c r="F8" s="23" t="str">
        <f aca="false">IFERROR(INDEX(Lists!$M$2:$M$5,MATCH($C8,Lists!$A$2:$A$5,0)),"")</f>
        <v>S. Naidoo</v>
      </c>
      <c r="G8" s="24" t="n">
        <v>46254.7604166667</v>
      </c>
      <c r="H8" s="25" t="n">
        <f aca="false">IF(OR($B8="",$G8=""),"",ROUND(($G8-$B8)*24,1))</f>
        <v>4</v>
      </c>
      <c r="I8" s="23" t="str">
        <f aca="false">IF($B8="","",YEAR($B8)&amp;"-"&amp;TEXT(MONTH($B8),"00"))</f>
        <v>2026-08</v>
      </c>
    </row>
    <row r="9" customFormat="false" ht="15" hidden="false" customHeight="false" outlineLevel="0" collapsed="false">
      <c r="A9" s="23" t="s">
        <v>40</v>
      </c>
      <c r="B9" s="24" t="n">
        <v>46261.4375</v>
      </c>
      <c r="C9" s="23" t="s">
        <v>34</v>
      </c>
      <c r="D9" s="23" t="s">
        <v>30</v>
      </c>
      <c r="E9" s="23" t="s">
        <v>27</v>
      </c>
      <c r="F9" s="23" t="str">
        <f aca="false">IFERROR(INDEX(Lists!$M$2:$M$5,MATCH($C9,Lists!$A$2:$A$5,0)),"")</f>
        <v>K. Van Wyk</v>
      </c>
      <c r="G9" s="24" t="n">
        <v>46262.5416666667</v>
      </c>
      <c r="H9" s="25" t="n">
        <f aca="false">IF(OR($B9="",$G9=""),"",ROUND(($G9-$B9)*24,1))</f>
        <v>26.5</v>
      </c>
      <c r="I9" s="23" t="str">
        <f aca="false">IF($B9="","",YEAR($B9)&amp;"-"&amp;TEXT(MONTH($B9),"00"))</f>
        <v>2026-08</v>
      </c>
    </row>
    <row r="10" customFormat="false" ht="15" hidden="false" customHeight="false" outlineLevel="0" collapsed="false">
      <c r="A10" s="23" t="s">
        <v>41</v>
      </c>
      <c r="B10" s="24" t="n">
        <v>46268.3680555556</v>
      </c>
      <c r="C10" s="23" t="s">
        <v>32</v>
      </c>
      <c r="D10" s="23" t="s">
        <v>30</v>
      </c>
      <c r="E10" s="23" t="s">
        <v>27</v>
      </c>
      <c r="F10" s="23" t="str">
        <f aca="false">IFERROR(INDEX(Lists!$M$2:$M$5,MATCH($C10,Lists!$A$2:$A$5,0)),"")</f>
        <v>R. Botha</v>
      </c>
      <c r="G10" s="24" t="n">
        <v>46270.2013888889</v>
      </c>
      <c r="H10" s="25" t="n">
        <f aca="false">IF(OR($B10="",$G10=""),"",ROUND(($G10-$B10)*24,1))</f>
        <v>44</v>
      </c>
      <c r="I10" s="23" t="str">
        <f aca="false">IF($B10="","",YEAR($B10)&amp;"-"&amp;TEXT(MONTH($B10),"00"))</f>
        <v>2026-09</v>
      </c>
    </row>
    <row r="11" customFormat="false" ht="15" hidden="false" customHeight="false" outlineLevel="0" collapsed="false">
      <c r="A11" s="23" t="s">
        <v>42</v>
      </c>
      <c r="B11" s="24" t="n">
        <v>46275.625</v>
      </c>
      <c r="C11" s="23" t="s">
        <v>29</v>
      </c>
      <c r="D11" s="23" t="s">
        <v>26</v>
      </c>
      <c r="E11" s="23" t="s">
        <v>27</v>
      </c>
      <c r="F11" s="23" t="str">
        <f aca="false">IFERROR(INDEX(Lists!$M$2:$M$5,MATCH($C11,Lists!$A$2:$A$5,0)),"")</f>
        <v>L. Dlamini</v>
      </c>
      <c r="G11" s="24" t="n">
        <v>46275.8333333333</v>
      </c>
      <c r="H11" s="25" t="n">
        <f aca="false">IF(OR($B11="",$G11=""),"",ROUND(($G11-$B11)*24,1))</f>
        <v>5</v>
      </c>
      <c r="I11" s="23" t="str">
        <f aca="false">IF($B11="","",YEAR($B11)&amp;"-"&amp;TEXT(MONTH($B11),"00"))</f>
        <v>2026-09</v>
      </c>
    </row>
    <row r="12" customFormat="false" ht="15" hidden="false" customHeight="false" outlineLevel="0" collapsed="false">
      <c r="A12" s="23" t="s">
        <v>43</v>
      </c>
      <c r="B12" s="24" t="n">
        <v>46282.40625</v>
      </c>
      <c r="C12" s="23" t="s">
        <v>34</v>
      </c>
      <c r="D12" s="23" t="s">
        <v>30</v>
      </c>
      <c r="E12" s="23" t="s">
        <v>27</v>
      </c>
      <c r="F12" s="23" t="str">
        <f aca="false">IFERROR(INDEX(Lists!$M$2:$M$5,MATCH($C12,Lists!$A$2:$A$5,0)),"")</f>
        <v>K. Van Wyk</v>
      </c>
      <c r="G12" s="24" t="n">
        <v>46283.1979166667</v>
      </c>
      <c r="H12" s="25" t="n">
        <f aca="false">IF(OR($B12="",$G12=""),"",ROUND(($G12-$B12)*24,1))</f>
        <v>19</v>
      </c>
      <c r="I12" s="23" t="str">
        <f aca="false">IF($B12="","",YEAR($B12)&amp;"-"&amp;TEXT(MONTH($B12),"00"))</f>
        <v>2026-09</v>
      </c>
    </row>
    <row r="13" customFormat="false" ht="15" hidden="false" customHeight="false" outlineLevel="0" collapsed="false">
      <c r="A13" s="23" t="s">
        <v>44</v>
      </c>
      <c r="B13" s="24" t="n">
        <v>46289.5486111111</v>
      </c>
      <c r="C13" s="23" t="s">
        <v>25</v>
      </c>
      <c r="D13" s="23" t="s">
        <v>35</v>
      </c>
      <c r="E13" s="23" t="s">
        <v>27</v>
      </c>
      <c r="F13" s="23" t="str">
        <f aca="false">IFERROR(INDEX(Lists!$M$2:$M$5,MATCH($C13,Lists!$A$2:$A$5,0)),"")</f>
        <v>S. Naidoo</v>
      </c>
      <c r="G13" s="24" t="n">
        <v>46291.2152777778</v>
      </c>
      <c r="H13" s="25" t="n">
        <f aca="false">IF(OR($B13="",$G13=""),"",ROUND(($G13-$B13)*24,1))</f>
        <v>40</v>
      </c>
      <c r="I13" s="23" t="str">
        <f aca="false">IF($B13="","",YEAR($B13)&amp;"-"&amp;TEXT(MONTH($B13),"00"))</f>
        <v>2026-09</v>
      </c>
    </row>
    <row r="14" customFormat="false" ht="15" hidden="false" customHeight="false" outlineLevel="0" collapsed="false">
      <c r="A14" s="23" t="s">
        <v>45</v>
      </c>
      <c r="B14" s="24" t="n">
        <v>46300.4166666667</v>
      </c>
      <c r="C14" s="23" t="s">
        <v>32</v>
      </c>
      <c r="D14" s="23" t="s">
        <v>35</v>
      </c>
      <c r="E14" s="23" t="s">
        <v>46</v>
      </c>
      <c r="F14" s="23" t="str">
        <f aca="false">IFERROR(INDEX(Lists!$M$2:$M$5,MATCH($C14,Lists!$A$2:$A$5,0)),"")</f>
        <v>R. Botha</v>
      </c>
      <c r="G14" s="24"/>
      <c r="H14" s="25" t="str">
        <f aca="false">IF(OR($B14="",$G14=""),"",ROUND(($G14-$B14)*24,1))</f>
        <v/>
      </c>
      <c r="I14" s="23" t="str">
        <f aca="false">IF($B14="","",YEAR($B14)&amp;"-"&amp;TEXT(MONTH($B14),"00"))</f>
        <v>2026-10</v>
      </c>
    </row>
    <row r="15" customFormat="false" ht="15" hidden="false" customHeight="false" outlineLevel="0" collapsed="false">
      <c r="A15" s="23" t="s">
        <v>47</v>
      </c>
      <c r="B15" s="24" t="n">
        <v>46307.5486111111</v>
      </c>
      <c r="C15" s="23" t="s">
        <v>25</v>
      </c>
      <c r="D15" s="23" t="s">
        <v>30</v>
      </c>
      <c r="E15" s="23" t="s">
        <v>48</v>
      </c>
      <c r="F15" s="23" t="str">
        <f aca="false">IFERROR(INDEX(Lists!$M$2:$M$5,MATCH($C15,Lists!$A$2:$A$5,0)),"")</f>
        <v>S. Naidoo</v>
      </c>
      <c r="G15" s="24"/>
      <c r="H15" s="25" t="str">
        <f aca="false">IF(OR($B15="",$G15=""),"",ROUND(($G15-$B15)*24,1))</f>
        <v/>
      </c>
      <c r="I15" s="23" t="str">
        <f aca="false">IF($B15="","",YEAR($B15)&amp;"-"&amp;TEXT(MONTH($B15),"00"))</f>
        <v>2026-10</v>
      </c>
    </row>
    <row r="16" customFormat="false" ht="15" hidden="false" customHeight="false" outlineLevel="0" collapsed="false">
      <c r="A16" s="23" t="s">
        <v>49</v>
      </c>
      <c r="B16" s="24" t="n">
        <v>46310.3958333333</v>
      </c>
      <c r="C16" s="23" t="s">
        <v>32</v>
      </c>
      <c r="D16" s="23" t="s">
        <v>26</v>
      </c>
      <c r="E16" s="23" t="s">
        <v>48</v>
      </c>
      <c r="F16" s="23" t="str">
        <f aca="false">IFERROR(INDEX(Lists!$M$2:$M$5,MATCH($C16,Lists!$A$2:$A$5,0)),"")</f>
        <v>R. Botha</v>
      </c>
      <c r="G16" s="24"/>
      <c r="H16" s="25" t="str">
        <f aca="false">IF(OR($B16="",$G16=""),"",ROUND(($G16-$B16)*24,1))</f>
        <v/>
      </c>
      <c r="I16" s="23" t="str">
        <f aca="false">IF($B16="","",YEAR($B16)&amp;"-"&amp;TEXT(MONTH($B16),"00"))</f>
        <v>2026-10</v>
      </c>
    </row>
    <row r="17" customFormat="false" ht="15" hidden="false" customHeight="false" outlineLevel="0" collapsed="false">
      <c r="A17" s="23"/>
      <c r="B17" s="24"/>
      <c r="C17" s="23"/>
      <c r="D17" s="23"/>
      <c r="E17" s="23"/>
      <c r="F17" s="23" t="str">
        <f aca="false">IFERROR(INDEX(Lists!$M$2:$M$5,MATCH($C17,Lists!$A$2:$A$5,0)),"")</f>
        <v/>
      </c>
      <c r="G17" s="24"/>
      <c r="H17" s="25" t="str">
        <f aca="false">IF(OR($B17="",$G17=""),"",ROUND(($G17-$B17)*24,1))</f>
        <v/>
      </c>
      <c r="I17" s="23" t="str">
        <f aca="false">IF($B17="","",YEAR($B17)&amp;"-"&amp;TEXT(MONTH($B17),"00"))</f>
        <v/>
      </c>
    </row>
    <row r="18" customFormat="false" ht="15" hidden="false" customHeight="false" outlineLevel="0" collapsed="false">
      <c r="A18" s="23"/>
      <c r="B18" s="24"/>
      <c r="C18" s="23"/>
      <c r="D18" s="23"/>
      <c r="E18" s="23"/>
      <c r="F18" s="23" t="str">
        <f aca="false">IFERROR(INDEX(Lists!$M$2:$M$5,MATCH($C18,Lists!$A$2:$A$5,0)),"")</f>
        <v/>
      </c>
      <c r="G18" s="24"/>
      <c r="H18" s="25" t="str">
        <f aca="false">IF(OR($B18="",$G18=""),"",ROUND(($G18-$B18)*24,1))</f>
        <v/>
      </c>
      <c r="I18" s="23" t="str">
        <f aca="false">IF($B18="","",YEAR($B18)&amp;"-"&amp;TEXT(MONTH($B18),"00"))</f>
        <v/>
      </c>
    </row>
    <row r="19" customFormat="false" ht="15" hidden="false" customHeight="false" outlineLevel="0" collapsed="false">
      <c r="A19" s="23"/>
      <c r="B19" s="24"/>
      <c r="C19" s="23"/>
      <c r="D19" s="23"/>
      <c r="E19" s="23"/>
      <c r="F19" s="23" t="str">
        <f aca="false">IFERROR(INDEX(Lists!$M$2:$M$5,MATCH($C19,Lists!$A$2:$A$5,0)),"")</f>
        <v/>
      </c>
      <c r="G19" s="24"/>
      <c r="H19" s="25" t="str">
        <f aca="false">IF(OR($B19="",$G19=""),"",ROUND(($G19-$B19)*24,1))</f>
        <v/>
      </c>
      <c r="I19" s="23" t="str">
        <f aca="false">IF($B19="","",YEAR($B19)&amp;"-"&amp;TEXT(MONTH($B19),"00"))</f>
        <v/>
      </c>
    </row>
    <row r="20" customFormat="false" ht="15" hidden="false" customHeight="false" outlineLevel="0" collapsed="false">
      <c r="A20" s="23"/>
      <c r="B20" s="24"/>
      <c r="C20" s="23"/>
      <c r="D20" s="23"/>
      <c r="E20" s="23"/>
      <c r="F20" s="23" t="str">
        <f aca="false">IFERROR(INDEX(Lists!$M$2:$M$5,MATCH($C20,Lists!$A$2:$A$5,0)),"")</f>
        <v/>
      </c>
      <c r="G20" s="24"/>
      <c r="H20" s="25" t="str">
        <f aca="false">IF(OR($B20="",$G20=""),"",ROUND(($G20-$B20)*24,1))</f>
        <v/>
      </c>
      <c r="I20" s="23" t="str">
        <f aca="false">IF($B20="","",YEAR($B20)&amp;"-"&amp;TEXT(MONTH($B20),"00"))</f>
        <v/>
      </c>
    </row>
    <row r="21" customFormat="false" ht="15" hidden="false" customHeight="false" outlineLevel="0" collapsed="false">
      <c r="A21" s="23"/>
      <c r="B21" s="24"/>
      <c r="C21" s="23"/>
      <c r="D21" s="23"/>
      <c r="E21" s="23"/>
      <c r="F21" s="23" t="str">
        <f aca="false">IFERROR(INDEX(Lists!$M$2:$M$5,MATCH($C21,Lists!$A$2:$A$5,0)),"")</f>
        <v/>
      </c>
      <c r="G21" s="24"/>
      <c r="H21" s="25" t="str">
        <f aca="false">IF(OR($B21="",$G21=""),"",ROUND(($G21-$B21)*24,1))</f>
        <v/>
      </c>
      <c r="I21" s="23" t="str">
        <f aca="false">IF($B21="","",YEAR($B21)&amp;"-"&amp;TEXT(MONTH($B21),"00"))</f>
        <v/>
      </c>
    </row>
    <row r="22" customFormat="false" ht="15" hidden="false" customHeight="false" outlineLevel="0" collapsed="false">
      <c r="A22" s="23"/>
      <c r="B22" s="24"/>
      <c r="C22" s="23"/>
      <c r="D22" s="23"/>
      <c r="E22" s="23"/>
      <c r="F22" s="23" t="str">
        <f aca="false">IFERROR(INDEX(Lists!$M$2:$M$5,MATCH($C22,Lists!$A$2:$A$5,0)),"")</f>
        <v/>
      </c>
      <c r="G22" s="24"/>
      <c r="H22" s="25" t="str">
        <f aca="false">IF(OR($B22="",$G22=""),"",ROUND(($G22-$B22)*24,1))</f>
        <v/>
      </c>
      <c r="I22" s="23" t="str">
        <f aca="false">IF($B22="","",YEAR($B22)&amp;"-"&amp;TEXT(MONTH($B22),"00"))</f>
        <v/>
      </c>
    </row>
    <row r="23" customFormat="false" ht="15" hidden="false" customHeight="false" outlineLevel="0" collapsed="false">
      <c r="A23" s="23"/>
      <c r="B23" s="24"/>
      <c r="C23" s="23"/>
      <c r="D23" s="23"/>
      <c r="E23" s="23"/>
      <c r="F23" s="23" t="str">
        <f aca="false">IFERROR(INDEX(Lists!$M$2:$M$5,MATCH($C23,Lists!$A$2:$A$5,0)),"")</f>
        <v/>
      </c>
      <c r="G23" s="24"/>
      <c r="H23" s="25" t="str">
        <f aca="false">IF(OR($B23="",$G23=""),"",ROUND(($G23-$B23)*24,1))</f>
        <v/>
      </c>
      <c r="I23" s="23" t="str">
        <f aca="false">IF($B23="","",YEAR($B23)&amp;"-"&amp;TEXT(MONTH($B23),"00"))</f>
        <v/>
      </c>
    </row>
    <row r="24" customFormat="false" ht="15" hidden="false" customHeight="false" outlineLevel="0" collapsed="false">
      <c r="A24" s="23"/>
      <c r="B24" s="24"/>
      <c r="C24" s="23"/>
      <c r="D24" s="23"/>
      <c r="E24" s="23"/>
      <c r="F24" s="23" t="str">
        <f aca="false">IFERROR(INDEX(Lists!$M$2:$M$5,MATCH($C24,Lists!$A$2:$A$5,0)),"")</f>
        <v/>
      </c>
      <c r="G24" s="24"/>
      <c r="H24" s="25" t="str">
        <f aca="false">IF(OR($B24="",$G24=""),"",ROUND(($G24-$B24)*24,1))</f>
        <v/>
      </c>
      <c r="I24" s="23" t="str">
        <f aca="false">IF($B24="","",YEAR($B24)&amp;"-"&amp;TEXT(MONTH($B24),"00"))</f>
        <v/>
      </c>
    </row>
    <row r="25" customFormat="false" ht="15" hidden="false" customHeight="false" outlineLevel="0" collapsed="false">
      <c r="A25" s="23"/>
      <c r="B25" s="24"/>
      <c r="C25" s="23"/>
      <c r="D25" s="23"/>
      <c r="E25" s="23"/>
      <c r="F25" s="23" t="str">
        <f aca="false">IFERROR(INDEX(Lists!$M$2:$M$5,MATCH($C25,Lists!$A$2:$A$5,0)),"")</f>
        <v/>
      </c>
      <c r="G25" s="24"/>
      <c r="H25" s="25" t="str">
        <f aca="false">IF(OR($B25="",$G25=""),"",ROUND(($G25-$B25)*24,1))</f>
        <v/>
      </c>
      <c r="I25" s="23" t="str">
        <f aca="false">IF($B25="","",YEAR($B25)&amp;"-"&amp;TEXT(MONTH($B25),"00"))</f>
        <v/>
      </c>
    </row>
    <row r="26" customFormat="false" ht="15" hidden="false" customHeight="false" outlineLevel="0" collapsed="false">
      <c r="A26" s="23"/>
      <c r="B26" s="24"/>
      <c r="C26" s="23"/>
      <c r="D26" s="23"/>
      <c r="E26" s="23"/>
      <c r="F26" s="23" t="str">
        <f aca="false">IFERROR(INDEX(Lists!$M$2:$M$5,MATCH($C26,Lists!$A$2:$A$5,0)),"")</f>
        <v/>
      </c>
      <c r="G26" s="24"/>
      <c r="H26" s="25" t="str">
        <f aca="false">IF(OR($B26="",$G26=""),"",ROUND(($G26-$B26)*24,1))</f>
        <v/>
      </c>
      <c r="I26" s="23" t="str">
        <f aca="false">IF($B26="","",YEAR($B26)&amp;"-"&amp;TEXT(MONTH($B26),"00"))</f>
        <v/>
      </c>
    </row>
    <row r="27" customFormat="false" ht="15" hidden="false" customHeight="false" outlineLevel="0" collapsed="false">
      <c r="A27" s="23"/>
      <c r="B27" s="24"/>
      <c r="C27" s="23"/>
      <c r="D27" s="23"/>
      <c r="E27" s="23"/>
      <c r="F27" s="23" t="str">
        <f aca="false">IFERROR(INDEX(Lists!$M$2:$M$5,MATCH($C27,Lists!$A$2:$A$5,0)),"")</f>
        <v/>
      </c>
      <c r="G27" s="24"/>
      <c r="H27" s="25" t="str">
        <f aca="false">IF(OR($B27="",$G27=""),"",ROUND(($G27-$B27)*24,1))</f>
        <v/>
      </c>
      <c r="I27" s="23" t="str">
        <f aca="false">IF($B27="","",YEAR($B27)&amp;"-"&amp;TEXT(MONTH($B27),"00"))</f>
        <v/>
      </c>
    </row>
    <row r="28" customFormat="false" ht="15" hidden="false" customHeight="false" outlineLevel="0" collapsed="false">
      <c r="A28" s="23"/>
      <c r="B28" s="24"/>
      <c r="C28" s="23"/>
      <c r="D28" s="23"/>
      <c r="E28" s="23"/>
      <c r="F28" s="23" t="str">
        <f aca="false">IFERROR(INDEX(Lists!$M$2:$M$5,MATCH($C28,Lists!$A$2:$A$5,0)),"")</f>
        <v/>
      </c>
      <c r="G28" s="24"/>
      <c r="H28" s="25" t="str">
        <f aca="false">IF(OR($B28="",$G28=""),"",ROUND(($G28-$B28)*24,1))</f>
        <v/>
      </c>
      <c r="I28" s="23" t="str">
        <f aca="false">IF($B28="","",YEAR($B28)&amp;"-"&amp;TEXT(MONTH($B28),"00"))</f>
        <v/>
      </c>
    </row>
    <row r="29" customFormat="false" ht="15" hidden="false" customHeight="false" outlineLevel="0" collapsed="false">
      <c r="A29" s="23"/>
      <c r="B29" s="24"/>
      <c r="C29" s="23"/>
      <c r="D29" s="23"/>
      <c r="E29" s="23"/>
      <c r="F29" s="23" t="str">
        <f aca="false">IFERROR(INDEX(Lists!$M$2:$M$5,MATCH($C29,Lists!$A$2:$A$5,0)),"")</f>
        <v/>
      </c>
      <c r="G29" s="24"/>
      <c r="H29" s="25" t="str">
        <f aca="false">IF(OR($B29="",$G29=""),"",ROUND(($G29-$B29)*24,1))</f>
        <v/>
      </c>
      <c r="I29" s="23" t="str">
        <f aca="false">IF($B29="","",YEAR($B29)&amp;"-"&amp;TEXT(MONTH($B29),"00"))</f>
        <v/>
      </c>
    </row>
    <row r="30" customFormat="false" ht="15" hidden="false" customHeight="false" outlineLevel="0" collapsed="false">
      <c r="A30" s="23"/>
      <c r="B30" s="24"/>
      <c r="C30" s="23"/>
      <c r="D30" s="23"/>
      <c r="E30" s="23"/>
      <c r="F30" s="23" t="str">
        <f aca="false">IFERROR(INDEX(Lists!$M$2:$M$5,MATCH($C30,Lists!$A$2:$A$5,0)),"")</f>
        <v/>
      </c>
      <c r="G30" s="24"/>
      <c r="H30" s="25" t="str">
        <f aca="false">IF(OR($B30="",$G30=""),"",ROUND(($G30-$B30)*24,1))</f>
        <v/>
      </c>
      <c r="I30" s="23" t="str">
        <f aca="false">IF($B30="","",YEAR($B30)&amp;"-"&amp;TEXT(MONTH($B30),"00"))</f>
        <v/>
      </c>
    </row>
    <row r="31" customFormat="false" ht="15" hidden="false" customHeight="false" outlineLevel="0" collapsed="false">
      <c r="A31" s="23"/>
      <c r="B31" s="24"/>
      <c r="C31" s="23"/>
      <c r="D31" s="23"/>
      <c r="E31" s="23"/>
      <c r="F31" s="23" t="str">
        <f aca="false">IFERROR(INDEX(Lists!$M$2:$M$5,MATCH($C31,Lists!$A$2:$A$5,0)),"")</f>
        <v/>
      </c>
      <c r="G31" s="24"/>
      <c r="H31" s="25" t="str">
        <f aca="false">IF(OR($B31="",$G31=""),"",ROUND(($G31-$B31)*24,1))</f>
        <v/>
      </c>
      <c r="I31" s="23" t="str">
        <f aca="false">IF($B31="","",YEAR($B31)&amp;"-"&amp;TEXT(MONTH($B31),"00"))</f>
        <v/>
      </c>
    </row>
    <row r="32" customFormat="false" ht="15" hidden="false" customHeight="false" outlineLevel="0" collapsed="false">
      <c r="A32" s="23"/>
      <c r="B32" s="24"/>
      <c r="C32" s="23"/>
      <c r="D32" s="23"/>
      <c r="E32" s="23"/>
      <c r="F32" s="23" t="str">
        <f aca="false">IFERROR(INDEX(Lists!$M$2:$M$5,MATCH($C32,Lists!$A$2:$A$5,0)),"")</f>
        <v/>
      </c>
      <c r="G32" s="24"/>
      <c r="H32" s="25" t="str">
        <f aca="false">IF(OR($B32="",$G32=""),"",ROUND(($G32-$B32)*24,1))</f>
        <v/>
      </c>
      <c r="I32" s="23" t="str">
        <f aca="false">IF($B32="","",YEAR($B32)&amp;"-"&amp;TEXT(MONTH($B32),"00"))</f>
        <v/>
      </c>
    </row>
    <row r="33" customFormat="false" ht="15" hidden="false" customHeight="false" outlineLevel="0" collapsed="false">
      <c r="A33" s="23"/>
      <c r="B33" s="24"/>
      <c r="C33" s="23"/>
      <c r="D33" s="23"/>
      <c r="E33" s="23"/>
      <c r="F33" s="23" t="str">
        <f aca="false">IFERROR(INDEX(Lists!$M$2:$M$5,MATCH($C33,Lists!$A$2:$A$5,0)),"")</f>
        <v/>
      </c>
      <c r="G33" s="24"/>
      <c r="H33" s="25" t="str">
        <f aca="false">IF(OR($B33="",$G33=""),"",ROUND(($G33-$B33)*24,1))</f>
        <v/>
      </c>
      <c r="I33" s="23" t="str">
        <f aca="false">IF($B33="","",YEAR($B33)&amp;"-"&amp;TEXT(MONTH($B33),"00"))</f>
        <v/>
      </c>
    </row>
    <row r="34" customFormat="false" ht="15" hidden="false" customHeight="false" outlineLevel="0" collapsed="false">
      <c r="A34" s="23"/>
      <c r="B34" s="24"/>
      <c r="C34" s="23"/>
      <c r="D34" s="23"/>
      <c r="E34" s="23"/>
      <c r="F34" s="23" t="str">
        <f aca="false">IFERROR(INDEX(Lists!$M$2:$M$5,MATCH($C34,Lists!$A$2:$A$5,0)),"")</f>
        <v/>
      </c>
      <c r="G34" s="24"/>
      <c r="H34" s="25" t="str">
        <f aca="false">IF(OR($B34="",$G34=""),"",ROUND(($G34-$B34)*24,1))</f>
        <v/>
      </c>
      <c r="I34" s="23" t="str">
        <f aca="false">IF($B34="","",YEAR($B34)&amp;"-"&amp;TEXT(MONTH($B34),"00"))</f>
        <v/>
      </c>
    </row>
    <row r="35" customFormat="false" ht="15" hidden="false" customHeight="false" outlineLevel="0" collapsed="false">
      <c r="A35" s="23"/>
      <c r="B35" s="24"/>
      <c r="C35" s="23"/>
      <c r="D35" s="23"/>
      <c r="E35" s="23"/>
      <c r="F35" s="23" t="str">
        <f aca="false">IFERROR(INDEX(Lists!$M$2:$M$5,MATCH($C35,Lists!$A$2:$A$5,0)),"")</f>
        <v/>
      </c>
      <c r="G35" s="24"/>
      <c r="H35" s="25" t="str">
        <f aca="false">IF(OR($B35="",$G35=""),"",ROUND(($G35-$B35)*24,1))</f>
        <v/>
      </c>
      <c r="I35" s="23" t="str">
        <f aca="false">IF($B35="","",YEAR($B35)&amp;"-"&amp;TEXT(MONTH($B35),"00"))</f>
        <v/>
      </c>
    </row>
    <row r="36" customFormat="false" ht="15" hidden="false" customHeight="false" outlineLevel="0" collapsed="false">
      <c r="A36" s="23"/>
      <c r="B36" s="24"/>
      <c r="C36" s="23"/>
      <c r="D36" s="23"/>
      <c r="E36" s="23"/>
      <c r="F36" s="23" t="str">
        <f aca="false">IFERROR(INDEX(Lists!$M$2:$M$5,MATCH($C36,Lists!$A$2:$A$5,0)),"")</f>
        <v/>
      </c>
      <c r="G36" s="24"/>
      <c r="H36" s="25" t="str">
        <f aca="false">IF(OR($B36="",$G36=""),"",ROUND(($G36-$B36)*24,1))</f>
        <v/>
      </c>
      <c r="I36" s="23" t="str">
        <f aca="false">IF($B36="","",YEAR($B36)&amp;"-"&amp;TEXT(MONTH($B36),"00"))</f>
        <v/>
      </c>
    </row>
    <row r="37" customFormat="false" ht="15" hidden="false" customHeight="false" outlineLevel="0" collapsed="false">
      <c r="A37" s="23"/>
      <c r="B37" s="24"/>
      <c r="C37" s="23"/>
      <c r="D37" s="23"/>
      <c r="E37" s="23"/>
      <c r="F37" s="23" t="str">
        <f aca="false">IFERROR(INDEX(Lists!$M$2:$M$5,MATCH($C37,Lists!$A$2:$A$5,0)),"")</f>
        <v/>
      </c>
      <c r="G37" s="24"/>
      <c r="H37" s="25" t="str">
        <f aca="false">IF(OR($B37="",$G37=""),"",ROUND(($G37-$B37)*24,1))</f>
        <v/>
      </c>
      <c r="I37" s="23" t="str">
        <f aca="false">IF($B37="","",YEAR($B37)&amp;"-"&amp;TEXT(MONTH($B37),"00"))</f>
        <v/>
      </c>
    </row>
    <row r="38" customFormat="false" ht="15" hidden="false" customHeight="false" outlineLevel="0" collapsed="false">
      <c r="A38" s="23"/>
      <c r="B38" s="24"/>
      <c r="C38" s="23"/>
      <c r="D38" s="23"/>
      <c r="E38" s="23"/>
      <c r="F38" s="23" t="str">
        <f aca="false">IFERROR(INDEX(Lists!$M$2:$M$5,MATCH($C38,Lists!$A$2:$A$5,0)),"")</f>
        <v/>
      </c>
      <c r="G38" s="24"/>
      <c r="H38" s="25" t="str">
        <f aca="false">IF(OR($B38="",$G38=""),"",ROUND(($G38-$B38)*24,1))</f>
        <v/>
      </c>
      <c r="I38" s="23" t="str">
        <f aca="false">IF($B38="","",YEAR($B38)&amp;"-"&amp;TEXT(MONTH($B38),"00"))</f>
        <v/>
      </c>
    </row>
    <row r="39" customFormat="false" ht="15" hidden="false" customHeight="false" outlineLevel="0" collapsed="false">
      <c r="A39" s="23"/>
      <c r="B39" s="24"/>
      <c r="C39" s="23"/>
      <c r="D39" s="23"/>
      <c r="E39" s="23"/>
      <c r="F39" s="23" t="str">
        <f aca="false">IFERROR(INDEX(Lists!$M$2:$M$5,MATCH($C39,Lists!$A$2:$A$5,0)),"")</f>
        <v/>
      </c>
      <c r="G39" s="24"/>
      <c r="H39" s="25" t="str">
        <f aca="false">IF(OR($B39="",$G39=""),"",ROUND(($G39-$B39)*24,1))</f>
        <v/>
      </c>
      <c r="I39" s="23" t="str">
        <f aca="false">IF($B39="","",YEAR($B39)&amp;"-"&amp;TEXT(MONTH($B39),"00"))</f>
        <v/>
      </c>
    </row>
    <row r="40" customFormat="false" ht="15" hidden="false" customHeight="false" outlineLevel="0" collapsed="false">
      <c r="A40" s="23"/>
      <c r="B40" s="24"/>
      <c r="C40" s="23"/>
      <c r="D40" s="23"/>
      <c r="E40" s="23"/>
      <c r="F40" s="23" t="str">
        <f aca="false">IFERROR(INDEX(Lists!$M$2:$M$5,MATCH($C40,Lists!$A$2:$A$5,0)),"")</f>
        <v/>
      </c>
      <c r="G40" s="24"/>
      <c r="H40" s="25" t="str">
        <f aca="false">IF(OR($B40="",$G40=""),"",ROUND(($G40-$B40)*24,1))</f>
        <v/>
      </c>
      <c r="I40" s="23" t="str">
        <f aca="false">IF($B40="","",YEAR($B40)&amp;"-"&amp;TEXT(MONTH($B40),"00"))</f>
        <v/>
      </c>
    </row>
    <row r="41" customFormat="false" ht="15" hidden="false" customHeight="false" outlineLevel="0" collapsed="false">
      <c r="A41" s="23"/>
      <c r="B41" s="24"/>
      <c r="C41" s="23"/>
      <c r="D41" s="23"/>
      <c r="E41" s="23"/>
      <c r="F41" s="23" t="str">
        <f aca="false">IFERROR(INDEX(Lists!$M$2:$M$5,MATCH($C41,Lists!$A$2:$A$5,0)),"")</f>
        <v/>
      </c>
      <c r="G41" s="24"/>
      <c r="H41" s="25" t="str">
        <f aca="false">IF(OR($B41="",$G41=""),"",ROUND(($G41-$B41)*24,1))</f>
        <v/>
      </c>
      <c r="I41" s="23" t="str">
        <f aca="false">IF($B41="","",YEAR($B41)&amp;"-"&amp;TEXT(MONTH($B41),"00"))</f>
        <v/>
      </c>
    </row>
    <row r="42" customFormat="false" ht="15" hidden="false" customHeight="false" outlineLevel="0" collapsed="false">
      <c r="A42" s="23"/>
      <c r="B42" s="24"/>
      <c r="C42" s="23"/>
      <c r="D42" s="23"/>
      <c r="E42" s="23"/>
      <c r="F42" s="23" t="str">
        <f aca="false">IFERROR(INDEX(Lists!$M$2:$M$5,MATCH($C42,Lists!$A$2:$A$5,0)),"")</f>
        <v/>
      </c>
      <c r="G42" s="24"/>
      <c r="H42" s="25" t="str">
        <f aca="false">IF(OR($B42="",$G42=""),"",ROUND(($G42-$B42)*24,1))</f>
        <v/>
      </c>
      <c r="I42" s="23" t="str">
        <f aca="false">IF($B42="","",YEAR($B42)&amp;"-"&amp;TEXT(MONTH($B42),"00"))</f>
        <v/>
      </c>
    </row>
    <row r="43" customFormat="false" ht="15" hidden="false" customHeight="false" outlineLevel="0" collapsed="false">
      <c r="A43" s="23"/>
      <c r="B43" s="24"/>
      <c r="C43" s="23"/>
      <c r="D43" s="23"/>
      <c r="E43" s="23"/>
      <c r="F43" s="23" t="str">
        <f aca="false">IFERROR(INDEX(Lists!$M$2:$M$5,MATCH($C43,Lists!$A$2:$A$5,0)),"")</f>
        <v/>
      </c>
      <c r="G43" s="24"/>
      <c r="H43" s="25" t="str">
        <f aca="false">IF(OR($B43="",$G43=""),"",ROUND(($G43-$B43)*24,1))</f>
        <v/>
      </c>
      <c r="I43" s="23" t="str">
        <f aca="false">IF($B43="","",YEAR($B43)&amp;"-"&amp;TEXT(MONTH($B43),"00"))</f>
        <v/>
      </c>
    </row>
    <row r="44" customFormat="false" ht="15" hidden="false" customHeight="false" outlineLevel="0" collapsed="false">
      <c r="A44" s="23"/>
      <c r="B44" s="24"/>
      <c r="C44" s="23"/>
      <c r="D44" s="23"/>
      <c r="E44" s="23"/>
      <c r="F44" s="23" t="str">
        <f aca="false">IFERROR(INDEX(Lists!$M$2:$M$5,MATCH($C44,Lists!$A$2:$A$5,0)),"")</f>
        <v/>
      </c>
      <c r="G44" s="24"/>
      <c r="H44" s="25" t="str">
        <f aca="false">IF(OR($B44="",$G44=""),"",ROUND(($G44-$B44)*24,1))</f>
        <v/>
      </c>
      <c r="I44" s="23" t="str">
        <f aca="false">IF($B44="","",YEAR($B44)&amp;"-"&amp;TEXT(MONTH($B44),"00"))</f>
        <v/>
      </c>
    </row>
    <row r="45" customFormat="false" ht="15" hidden="false" customHeight="false" outlineLevel="0" collapsed="false">
      <c r="A45" s="23"/>
      <c r="B45" s="24"/>
      <c r="C45" s="23"/>
      <c r="D45" s="23"/>
      <c r="E45" s="23"/>
      <c r="F45" s="23" t="str">
        <f aca="false">IFERROR(INDEX(Lists!$M$2:$M$5,MATCH($C45,Lists!$A$2:$A$5,0)),"")</f>
        <v/>
      </c>
      <c r="G45" s="24"/>
      <c r="H45" s="25" t="str">
        <f aca="false">IF(OR($B45="",$G45=""),"",ROUND(($G45-$B45)*24,1))</f>
        <v/>
      </c>
      <c r="I45" s="23" t="str">
        <f aca="false">IF($B45="","",YEAR($B45)&amp;"-"&amp;TEXT(MONTH($B45),"00"))</f>
        <v/>
      </c>
    </row>
    <row r="46" customFormat="false" ht="15" hidden="false" customHeight="false" outlineLevel="0" collapsed="false">
      <c r="A46" s="23"/>
      <c r="B46" s="24"/>
      <c r="C46" s="23"/>
      <c r="D46" s="23"/>
      <c r="E46" s="23"/>
      <c r="F46" s="23" t="str">
        <f aca="false">IFERROR(INDEX(Lists!$M$2:$M$5,MATCH($C46,Lists!$A$2:$A$5,0)),"")</f>
        <v/>
      </c>
      <c r="G46" s="24"/>
      <c r="H46" s="25" t="str">
        <f aca="false">IF(OR($B46="",$G46=""),"",ROUND(($G46-$B46)*24,1))</f>
        <v/>
      </c>
      <c r="I46" s="23" t="str">
        <f aca="false">IF($B46="","",YEAR($B46)&amp;"-"&amp;TEXT(MONTH($B46),"00"))</f>
        <v/>
      </c>
    </row>
    <row r="47" customFormat="false" ht="15" hidden="false" customHeight="false" outlineLevel="0" collapsed="false">
      <c r="A47" s="23"/>
      <c r="B47" s="24"/>
      <c r="C47" s="23"/>
      <c r="D47" s="23"/>
      <c r="E47" s="23"/>
      <c r="F47" s="23" t="str">
        <f aca="false">IFERROR(INDEX(Lists!$M$2:$M$5,MATCH($C47,Lists!$A$2:$A$5,0)),"")</f>
        <v/>
      </c>
      <c r="G47" s="24"/>
      <c r="H47" s="25" t="str">
        <f aca="false">IF(OR($B47="",$G47=""),"",ROUND(($G47-$B47)*24,1))</f>
        <v/>
      </c>
      <c r="I47" s="23" t="str">
        <f aca="false">IF($B47="","",YEAR($B47)&amp;"-"&amp;TEXT(MONTH($B47),"00"))</f>
        <v/>
      </c>
    </row>
    <row r="48" customFormat="false" ht="15" hidden="false" customHeight="false" outlineLevel="0" collapsed="false">
      <c r="A48" s="23"/>
      <c r="B48" s="24"/>
      <c r="C48" s="23"/>
      <c r="D48" s="23"/>
      <c r="E48" s="23"/>
      <c r="F48" s="23" t="str">
        <f aca="false">IFERROR(INDEX(Lists!$M$2:$M$5,MATCH($C48,Lists!$A$2:$A$5,0)),"")</f>
        <v/>
      </c>
      <c r="G48" s="24"/>
      <c r="H48" s="25" t="str">
        <f aca="false">IF(OR($B48="",$G48=""),"",ROUND(($G48-$B48)*24,1))</f>
        <v/>
      </c>
      <c r="I48" s="23" t="str">
        <f aca="false">IF($B48="","",YEAR($B48)&amp;"-"&amp;TEXT(MONTH($B48),"00"))</f>
        <v/>
      </c>
    </row>
    <row r="49" customFormat="false" ht="15" hidden="false" customHeight="false" outlineLevel="0" collapsed="false">
      <c r="A49" s="23"/>
      <c r="B49" s="24"/>
      <c r="C49" s="23"/>
      <c r="D49" s="23"/>
      <c r="E49" s="23"/>
      <c r="F49" s="23" t="str">
        <f aca="false">IFERROR(INDEX(Lists!$M$2:$M$5,MATCH($C49,Lists!$A$2:$A$5,0)),"")</f>
        <v/>
      </c>
      <c r="G49" s="24"/>
      <c r="H49" s="25" t="str">
        <f aca="false">IF(OR($B49="",$G49=""),"",ROUND(($G49-$B49)*24,1))</f>
        <v/>
      </c>
      <c r="I49" s="23" t="str">
        <f aca="false">IF($B49="","",YEAR($B49)&amp;"-"&amp;TEXT(MONTH($B49),"00"))</f>
        <v/>
      </c>
    </row>
    <row r="50" customFormat="false" ht="15" hidden="false" customHeight="false" outlineLevel="0" collapsed="false">
      <c r="A50" s="23"/>
      <c r="B50" s="24"/>
      <c r="C50" s="23"/>
      <c r="D50" s="23"/>
      <c r="E50" s="23"/>
      <c r="F50" s="23" t="str">
        <f aca="false">IFERROR(INDEX(Lists!$M$2:$M$5,MATCH($C50,Lists!$A$2:$A$5,0)),"")</f>
        <v/>
      </c>
      <c r="G50" s="24"/>
      <c r="H50" s="25" t="str">
        <f aca="false">IF(OR($B50="",$G50=""),"",ROUND(($G50-$B50)*24,1))</f>
        <v/>
      </c>
      <c r="I50" s="23" t="str">
        <f aca="false">IF($B50="","",YEAR($B50)&amp;"-"&amp;TEXT(MONTH($B50),"00"))</f>
        <v/>
      </c>
    </row>
    <row r="51" customFormat="false" ht="15" hidden="false" customHeight="false" outlineLevel="0" collapsed="false">
      <c r="A51" s="23"/>
      <c r="B51" s="24"/>
      <c r="C51" s="23"/>
      <c r="D51" s="23"/>
      <c r="E51" s="23"/>
      <c r="F51" s="23" t="str">
        <f aca="false">IFERROR(INDEX(Lists!$M$2:$M$5,MATCH($C51,Lists!$A$2:$A$5,0)),"")</f>
        <v/>
      </c>
      <c r="G51" s="24"/>
      <c r="H51" s="25" t="str">
        <f aca="false">IF(OR($B51="",$G51=""),"",ROUND(($G51-$B51)*24,1))</f>
        <v/>
      </c>
      <c r="I51" s="23" t="str">
        <f aca="false">IF($B51="","",YEAR($B51)&amp;"-"&amp;TEXT(MONTH($B51),"00"))</f>
        <v/>
      </c>
    </row>
    <row r="52" customFormat="false" ht="15" hidden="false" customHeight="false" outlineLevel="0" collapsed="false">
      <c r="A52" s="23"/>
      <c r="B52" s="24"/>
      <c r="C52" s="23"/>
      <c r="D52" s="23"/>
      <c r="E52" s="23"/>
      <c r="F52" s="23" t="str">
        <f aca="false">IFERROR(INDEX(Lists!$M$2:$M$5,MATCH($C52,Lists!$A$2:$A$5,0)),"")</f>
        <v/>
      </c>
      <c r="G52" s="24"/>
      <c r="H52" s="25" t="str">
        <f aca="false">IF(OR($B52="",$G52=""),"",ROUND(($G52-$B52)*24,1))</f>
        <v/>
      </c>
      <c r="I52" s="23" t="str">
        <f aca="false">IF($B52="","",YEAR($B52)&amp;"-"&amp;TEXT(MONTH($B52),"00"))</f>
        <v/>
      </c>
    </row>
    <row r="53" customFormat="false" ht="15" hidden="false" customHeight="false" outlineLevel="0" collapsed="false">
      <c r="A53" s="23"/>
      <c r="B53" s="24"/>
      <c r="C53" s="23"/>
      <c r="D53" s="23"/>
      <c r="E53" s="23"/>
      <c r="F53" s="23" t="str">
        <f aca="false">IFERROR(INDEX(Lists!$M$2:$M$5,MATCH($C53,Lists!$A$2:$A$5,0)),"")</f>
        <v/>
      </c>
      <c r="G53" s="24"/>
      <c r="H53" s="25" t="str">
        <f aca="false">IF(OR($B53="",$G53=""),"",ROUND(($G53-$B53)*24,1))</f>
        <v/>
      </c>
      <c r="I53" s="23" t="str">
        <f aca="false">IF($B53="","",YEAR($B53)&amp;"-"&amp;TEXT(MONTH($B53),"00"))</f>
        <v/>
      </c>
    </row>
    <row r="54" customFormat="false" ht="15" hidden="false" customHeight="false" outlineLevel="0" collapsed="false">
      <c r="A54" s="23"/>
      <c r="B54" s="24"/>
      <c r="C54" s="23"/>
      <c r="D54" s="23"/>
      <c r="E54" s="23"/>
      <c r="F54" s="23" t="str">
        <f aca="false">IFERROR(INDEX(Lists!$M$2:$M$5,MATCH($C54,Lists!$A$2:$A$5,0)),"")</f>
        <v/>
      </c>
      <c r="G54" s="24"/>
      <c r="H54" s="25" t="str">
        <f aca="false">IF(OR($B54="",$G54=""),"",ROUND(($G54-$B54)*24,1))</f>
        <v/>
      </c>
      <c r="I54" s="23" t="str">
        <f aca="false">IF($B54="","",YEAR($B54)&amp;"-"&amp;TEXT(MONTH($B54),"00"))</f>
        <v/>
      </c>
    </row>
    <row r="55" customFormat="false" ht="15" hidden="false" customHeight="false" outlineLevel="0" collapsed="false">
      <c r="A55" s="23"/>
      <c r="B55" s="24"/>
      <c r="C55" s="23"/>
      <c r="D55" s="23"/>
      <c r="E55" s="23"/>
      <c r="F55" s="23" t="str">
        <f aca="false">IFERROR(INDEX(Lists!$M$2:$M$5,MATCH($C55,Lists!$A$2:$A$5,0)),"")</f>
        <v/>
      </c>
      <c r="G55" s="24"/>
      <c r="H55" s="25" t="str">
        <f aca="false">IF(OR($B55="",$G55=""),"",ROUND(($G55-$B55)*24,1))</f>
        <v/>
      </c>
      <c r="I55" s="23" t="str">
        <f aca="false">IF($B55="","",YEAR($B55)&amp;"-"&amp;TEXT(MONTH($B55),"00"))</f>
        <v/>
      </c>
    </row>
    <row r="56" customFormat="false" ht="15" hidden="false" customHeight="false" outlineLevel="0" collapsed="false">
      <c r="A56" s="23"/>
      <c r="B56" s="24"/>
      <c r="C56" s="23"/>
      <c r="D56" s="23"/>
      <c r="E56" s="23"/>
      <c r="F56" s="23" t="str">
        <f aca="false">IFERROR(INDEX(Lists!$M$2:$M$5,MATCH($C56,Lists!$A$2:$A$5,0)),"")</f>
        <v/>
      </c>
      <c r="G56" s="24"/>
      <c r="H56" s="25" t="str">
        <f aca="false">IF(OR($B56="",$G56=""),"",ROUND(($G56-$B56)*24,1))</f>
        <v/>
      </c>
      <c r="I56" s="23" t="str">
        <f aca="false">IF($B56="","",YEAR($B56)&amp;"-"&amp;TEXT(MONTH($B56),"00"))</f>
        <v/>
      </c>
    </row>
    <row r="57" customFormat="false" ht="15" hidden="false" customHeight="false" outlineLevel="0" collapsed="false">
      <c r="A57" s="23"/>
      <c r="B57" s="24"/>
      <c r="C57" s="23"/>
      <c r="D57" s="23"/>
      <c r="E57" s="23"/>
      <c r="F57" s="23" t="str">
        <f aca="false">IFERROR(INDEX(Lists!$M$2:$M$5,MATCH($C57,Lists!$A$2:$A$5,0)),"")</f>
        <v/>
      </c>
      <c r="G57" s="24"/>
      <c r="H57" s="25" t="str">
        <f aca="false">IF(OR($B57="",$G57=""),"",ROUND(($G57-$B57)*24,1))</f>
        <v/>
      </c>
      <c r="I57" s="23" t="str">
        <f aca="false">IF($B57="","",YEAR($B57)&amp;"-"&amp;TEXT(MONTH($B57),"00"))</f>
        <v/>
      </c>
    </row>
    <row r="58" customFormat="false" ht="15" hidden="false" customHeight="false" outlineLevel="0" collapsed="false">
      <c r="A58" s="23"/>
      <c r="B58" s="24"/>
      <c r="C58" s="23"/>
      <c r="D58" s="23"/>
      <c r="E58" s="23"/>
      <c r="F58" s="23" t="str">
        <f aca="false">IFERROR(INDEX(Lists!$M$2:$M$5,MATCH($C58,Lists!$A$2:$A$5,0)),"")</f>
        <v/>
      </c>
      <c r="G58" s="24"/>
      <c r="H58" s="25" t="str">
        <f aca="false">IF(OR($B58="",$G58=""),"",ROUND(($G58-$B58)*24,1))</f>
        <v/>
      </c>
      <c r="I58" s="23" t="str">
        <f aca="false">IF($B58="","",YEAR($B58)&amp;"-"&amp;TEXT(MONTH($B58),"00"))</f>
        <v/>
      </c>
    </row>
    <row r="59" customFormat="false" ht="15" hidden="false" customHeight="false" outlineLevel="0" collapsed="false">
      <c r="A59" s="23"/>
      <c r="B59" s="24"/>
      <c r="C59" s="23"/>
      <c r="D59" s="23"/>
      <c r="E59" s="23"/>
      <c r="F59" s="23" t="str">
        <f aca="false">IFERROR(INDEX(Lists!$M$2:$M$5,MATCH($C59,Lists!$A$2:$A$5,0)),"")</f>
        <v/>
      </c>
      <c r="G59" s="24"/>
      <c r="H59" s="25" t="str">
        <f aca="false">IF(OR($B59="",$G59=""),"",ROUND(($G59-$B59)*24,1))</f>
        <v/>
      </c>
      <c r="I59" s="23" t="str">
        <f aca="false">IF($B59="","",YEAR($B59)&amp;"-"&amp;TEXT(MONTH($B59),"00"))</f>
        <v/>
      </c>
    </row>
    <row r="60" customFormat="false" ht="15" hidden="false" customHeight="false" outlineLevel="0" collapsed="false">
      <c r="A60" s="23"/>
      <c r="B60" s="24"/>
      <c r="C60" s="23"/>
      <c r="D60" s="23"/>
      <c r="E60" s="23"/>
      <c r="F60" s="23" t="str">
        <f aca="false">IFERROR(INDEX(Lists!$M$2:$M$5,MATCH($C60,Lists!$A$2:$A$5,0)),"")</f>
        <v/>
      </c>
      <c r="G60" s="24"/>
      <c r="H60" s="25" t="str">
        <f aca="false">IF(OR($B60="",$G60=""),"",ROUND(($G60-$B60)*24,1))</f>
        <v/>
      </c>
      <c r="I60" s="23" t="str">
        <f aca="false">IF($B60="","",YEAR($B60)&amp;"-"&amp;TEXT(MONTH($B60),"00"))</f>
        <v/>
      </c>
    </row>
    <row r="61" customFormat="false" ht="15" hidden="false" customHeight="false" outlineLevel="0" collapsed="false">
      <c r="A61" s="23"/>
      <c r="B61" s="24"/>
      <c r="C61" s="23"/>
      <c r="D61" s="23"/>
      <c r="E61" s="23"/>
      <c r="F61" s="23" t="str">
        <f aca="false">IFERROR(INDEX(Lists!$M$2:$M$5,MATCH($C61,Lists!$A$2:$A$5,0)),"")</f>
        <v/>
      </c>
      <c r="G61" s="24"/>
      <c r="H61" s="25" t="str">
        <f aca="false">IF(OR($B61="",$G61=""),"",ROUND(($G61-$B61)*24,1))</f>
        <v/>
      </c>
      <c r="I61" s="23" t="str">
        <f aca="false">IF($B61="","",YEAR($B61)&amp;"-"&amp;TEXT(MONTH($B61),"00"))</f>
        <v/>
      </c>
    </row>
  </sheetData>
  <autoFilter ref="A1:I61"/>
  <dataValidations count="3">
    <dataValidation allowBlank="true" errorStyle="stop" operator="between" showDropDown="false" showErrorMessage="false" showInputMessage="false" sqref="C2:C61" type="list">
      <formula1>Lists!$A$2:$A$5</formula1>
      <formula2>0</formula2>
    </dataValidation>
    <dataValidation allowBlank="true" errorStyle="stop" operator="between" showDropDown="false" showErrorMessage="false" showInputMessage="false" sqref="D2:D61" type="list">
      <formula1>Lists!$B$2:$B$5</formula1>
      <formula2>0</formula2>
    </dataValidation>
    <dataValidation allowBlank="true" errorStyle="stop" operator="between" showDropDown="false" showErrorMessage="false" showInputMessage="false" sqref="E2:E61" type="list">
      <formula1>Lists!$C$2:$C$4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26" t="s">
        <v>50</v>
      </c>
      <c r="B1" s="26" t="s">
        <v>51</v>
      </c>
      <c r="C1" s="26" t="s">
        <v>14</v>
      </c>
      <c r="D1" s="26" t="s">
        <v>52</v>
      </c>
      <c r="E1" s="26" t="s">
        <v>53</v>
      </c>
      <c r="F1" s="26" t="s">
        <v>22</v>
      </c>
    </row>
    <row r="2" customFormat="false" ht="15" hidden="false" customHeight="false" outlineLevel="0" collapsed="false">
      <c r="A2" s="23" t="s">
        <v>54</v>
      </c>
      <c r="B2" s="27" t="n">
        <v>46224</v>
      </c>
      <c r="C2" s="23" t="s">
        <v>31</v>
      </c>
      <c r="D2" s="23" t="s">
        <v>55</v>
      </c>
      <c r="E2" s="23" t="s">
        <v>56</v>
      </c>
      <c r="F2" s="23" t="str">
        <f aca="false">IF($B2="","",YEAR($B2)&amp;"-"&amp;TEXT(MONTH($B2),"00"))</f>
        <v>2026-07</v>
      </c>
    </row>
    <row r="3" customFormat="false" ht="15" hidden="false" customHeight="false" outlineLevel="0" collapsed="false">
      <c r="A3" s="23" t="s">
        <v>57</v>
      </c>
      <c r="B3" s="27" t="n">
        <v>46246</v>
      </c>
      <c r="C3" s="23" t="s">
        <v>37</v>
      </c>
      <c r="D3" s="23" t="s">
        <v>58</v>
      </c>
      <c r="E3" s="23" t="s">
        <v>56</v>
      </c>
      <c r="F3" s="23" t="str">
        <f aca="false">IF($B3="","",YEAR($B3)&amp;"-"&amp;TEXT(MONTH($B3),"00"))</f>
        <v>2026-08</v>
      </c>
    </row>
    <row r="4" customFormat="false" ht="15" hidden="false" customHeight="false" outlineLevel="0" collapsed="false">
      <c r="A4" s="23" t="s">
        <v>59</v>
      </c>
      <c r="B4" s="27" t="n">
        <v>46268</v>
      </c>
      <c r="C4" s="23" t="s">
        <v>41</v>
      </c>
      <c r="D4" s="23" t="s">
        <v>55</v>
      </c>
      <c r="E4" s="23" t="s">
        <v>60</v>
      </c>
      <c r="F4" s="23" t="str">
        <f aca="false">IF($B4="","",YEAR($B4)&amp;"-"&amp;TEXT(MONTH($B4),"00"))</f>
        <v>2026-09</v>
      </c>
    </row>
    <row r="5" customFormat="false" ht="15" hidden="false" customHeight="false" outlineLevel="0" collapsed="false">
      <c r="A5" s="23" t="s">
        <v>61</v>
      </c>
      <c r="B5" s="27" t="n">
        <v>46300</v>
      </c>
      <c r="C5" s="23" t="s">
        <v>45</v>
      </c>
      <c r="D5" s="23" t="s">
        <v>62</v>
      </c>
      <c r="E5" s="23" t="s">
        <v>63</v>
      </c>
      <c r="F5" s="23" t="str">
        <f aca="false">IF($B5="","",YEAR($B5)&amp;"-"&amp;TEXT(MONTH($B5),"00"))</f>
        <v>2026-10</v>
      </c>
    </row>
    <row r="6" customFormat="false" ht="15" hidden="false" customHeight="false" outlineLevel="0" collapsed="false">
      <c r="A6" s="23" t="s">
        <v>64</v>
      </c>
      <c r="B6" s="27" t="n">
        <v>46310</v>
      </c>
      <c r="C6" s="23" t="s">
        <v>49</v>
      </c>
      <c r="D6" s="23" t="s">
        <v>65</v>
      </c>
      <c r="E6" s="23" t="s">
        <v>63</v>
      </c>
      <c r="F6" s="23" t="str">
        <f aca="false">IF($B6="","",YEAR($B6)&amp;"-"&amp;TEXT(MONTH($B6),"00"))</f>
        <v>2026-10</v>
      </c>
    </row>
    <row r="7" customFormat="false" ht="15" hidden="false" customHeight="false" outlineLevel="0" collapsed="false">
      <c r="A7" s="23"/>
      <c r="B7" s="27"/>
      <c r="C7" s="23"/>
      <c r="D7" s="23"/>
      <c r="E7" s="23"/>
      <c r="F7" s="23" t="str">
        <f aca="false">IF($B7="","",YEAR($B7)&amp;"-"&amp;TEXT(MONTH($B7),"00"))</f>
        <v/>
      </c>
    </row>
    <row r="8" customFormat="false" ht="15" hidden="false" customHeight="false" outlineLevel="0" collapsed="false">
      <c r="A8" s="23"/>
      <c r="B8" s="27"/>
      <c r="C8" s="23"/>
      <c r="D8" s="23"/>
      <c r="E8" s="23"/>
      <c r="F8" s="23" t="str">
        <f aca="false">IF($B8="","",YEAR($B8)&amp;"-"&amp;TEXT(MONTH($B8),"00"))</f>
        <v/>
      </c>
    </row>
    <row r="9" customFormat="false" ht="15" hidden="false" customHeight="false" outlineLevel="0" collapsed="false">
      <c r="A9" s="23"/>
      <c r="B9" s="27"/>
      <c r="C9" s="23"/>
      <c r="D9" s="23"/>
      <c r="E9" s="23"/>
      <c r="F9" s="23" t="str">
        <f aca="false">IF($B9="","",YEAR($B9)&amp;"-"&amp;TEXT(MONTH($B9),"00"))</f>
        <v/>
      </c>
    </row>
    <row r="10" customFormat="false" ht="15" hidden="false" customHeight="false" outlineLevel="0" collapsed="false">
      <c r="A10" s="23"/>
      <c r="B10" s="27"/>
      <c r="C10" s="23"/>
      <c r="D10" s="23"/>
      <c r="E10" s="23"/>
      <c r="F10" s="23" t="str">
        <f aca="false">IF($B10="","",YEAR($B10)&amp;"-"&amp;TEXT(MONTH($B10),"00"))</f>
        <v/>
      </c>
    </row>
    <row r="11" customFormat="false" ht="15" hidden="false" customHeight="false" outlineLevel="0" collapsed="false">
      <c r="A11" s="23"/>
      <c r="B11" s="27"/>
      <c r="C11" s="23"/>
      <c r="D11" s="23"/>
      <c r="E11" s="23"/>
      <c r="F11" s="23" t="str">
        <f aca="false">IF($B11="","",YEAR($B11)&amp;"-"&amp;TEXT(MONTH($B11),"00"))</f>
        <v/>
      </c>
    </row>
    <row r="12" customFormat="false" ht="15" hidden="false" customHeight="false" outlineLevel="0" collapsed="false">
      <c r="A12" s="23"/>
      <c r="B12" s="27"/>
      <c r="C12" s="23"/>
      <c r="D12" s="23"/>
      <c r="E12" s="23"/>
      <c r="F12" s="23" t="str">
        <f aca="false">IF($B12="","",YEAR($B12)&amp;"-"&amp;TEXT(MONTH($B12),"00"))</f>
        <v/>
      </c>
    </row>
    <row r="13" customFormat="false" ht="15" hidden="false" customHeight="false" outlineLevel="0" collapsed="false">
      <c r="A13" s="23"/>
      <c r="B13" s="27"/>
      <c r="C13" s="23"/>
      <c r="D13" s="23"/>
      <c r="E13" s="23"/>
      <c r="F13" s="23" t="str">
        <f aca="false">IF($B13="","",YEAR($B13)&amp;"-"&amp;TEXT(MONTH($B13),"00"))</f>
        <v/>
      </c>
    </row>
    <row r="14" customFormat="false" ht="15" hidden="false" customHeight="false" outlineLevel="0" collapsed="false">
      <c r="A14" s="23"/>
      <c r="B14" s="27"/>
      <c r="C14" s="23"/>
      <c r="D14" s="23"/>
      <c r="E14" s="23"/>
      <c r="F14" s="23" t="str">
        <f aca="false">IF($B14="","",YEAR($B14)&amp;"-"&amp;TEXT(MONTH($B14),"00"))</f>
        <v/>
      </c>
    </row>
    <row r="15" customFormat="false" ht="15" hidden="false" customHeight="false" outlineLevel="0" collapsed="false">
      <c r="A15" s="23"/>
      <c r="B15" s="27"/>
      <c r="C15" s="23"/>
      <c r="D15" s="23"/>
      <c r="E15" s="23"/>
      <c r="F15" s="23" t="str">
        <f aca="false">IF($B15="","",YEAR($B15)&amp;"-"&amp;TEXT(MONTH($B15),"00"))</f>
        <v/>
      </c>
    </row>
    <row r="16" customFormat="false" ht="15" hidden="false" customHeight="false" outlineLevel="0" collapsed="false">
      <c r="A16" s="23"/>
      <c r="B16" s="27"/>
      <c r="C16" s="23"/>
      <c r="D16" s="23"/>
      <c r="E16" s="23"/>
      <c r="F16" s="23" t="str">
        <f aca="false">IF($B16="","",YEAR($B16)&amp;"-"&amp;TEXT(MONTH($B16),"00"))</f>
        <v/>
      </c>
    </row>
    <row r="17" customFormat="false" ht="15" hidden="false" customHeight="false" outlineLevel="0" collapsed="false">
      <c r="A17" s="23"/>
      <c r="B17" s="27"/>
      <c r="C17" s="23"/>
      <c r="D17" s="23"/>
      <c r="E17" s="23"/>
      <c r="F17" s="23" t="str">
        <f aca="false">IF($B17="","",YEAR($B17)&amp;"-"&amp;TEXT(MONTH($B17),"00"))</f>
        <v/>
      </c>
    </row>
    <row r="18" customFormat="false" ht="15" hidden="false" customHeight="false" outlineLevel="0" collapsed="false">
      <c r="A18" s="23"/>
      <c r="B18" s="27"/>
      <c r="C18" s="23"/>
      <c r="D18" s="23"/>
      <c r="E18" s="23"/>
      <c r="F18" s="23" t="str">
        <f aca="false">IF($B18="","",YEAR($B18)&amp;"-"&amp;TEXT(MONTH($B18),"00"))</f>
        <v/>
      </c>
    </row>
    <row r="19" customFormat="false" ht="15" hidden="false" customHeight="false" outlineLevel="0" collapsed="false">
      <c r="A19" s="23"/>
      <c r="B19" s="27"/>
      <c r="C19" s="23"/>
      <c r="D19" s="23"/>
      <c r="E19" s="23"/>
      <c r="F19" s="23" t="str">
        <f aca="false">IF($B19="","",YEAR($B19)&amp;"-"&amp;TEXT(MONTH($B19),"00"))</f>
        <v/>
      </c>
    </row>
    <row r="20" customFormat="false" ht="15" hidden="false" customHeight="false" outlineLevel="0" collapsed="false">
      <c r="A20" s="23"/>
      <c r="B20" s="27"/>
      <c r="C20" s="23"/>
      <c r="D20" s="23"/>
      <c r="E20" s="23"/>
      <c r="F20" s="23" t="str">
        <f aca="false">IF($B20="","",YEAR($B20)&amp;"-"&amp;TEXT(MONTH($B20),"00"))</f>
        <v/>
      </c>
    </row>
    <row r="21" customFormat="false" ht="15" hidden="false" customHeight="false" outlineLevel="0" collapsed="false">
      <c r="A21" s="23"/>
      <c r="B21" s="27"/>
      <c r="C21" s="23"/>
      <c r="D21" s="23"/>
      <c r="E21" s="23"/>
      <c r="F21" s="23" t="str">
        <f aca="false">IF($B21="","",YEAR($B21)&amp;"-"&amp;TEXT(MONTH($B21),"00"))</f>
        <v/>
      </c>
    </row>
    <row r="22" customFormat="false" ht="15" hidden="false" customHeight="false" outlineLevel="0" collapsed="false">
      <c r="A22" s="23"/>
      <c r="B22" s="27"/>
      <c r="C22" s="23"/>
      <c r="D22" s="23"/>
      <c r="E22" s="23"/>
      <c r="F22" s="23" t="str">
        <f aca="false">IF($B22="","",YEAR($B22)&amp;"-"&amp;TEXT(MONTH($B22),"00"))</f>
        <v/>
      </c>
    </row>
    <row r="23" customFormat="false" ht="15" hidden="false" customHeight="false" outlineLevel="0" collapsed="false">
      <c r="A23" s="23"/>
      <c r="B23" s="27"/>
      <c r="C23" s="23"/>
      <c r="D23" s="23"/>
      <c r="E23" s="23"/>
      <c r="F23" s="23" t="str">
        <f aca="false">IF($B23="","",YEAR($B23)&amp;"-"&amp;TEXT(MONTH($B23),"00"))</f>
        <v/>
      </c>
    </row>
    <row r="24" customFormat="false" ht="15" hidden="false" customHeight="false" outlineLevel="0" collapsed="false">
      <c r="A24" s="23"/>
      <c r="B24" s="27"/>
      <c r="C24" s="23"/>
      <c r="D24" s="23"/>
      <c r="E24" s="23"/>
      <c r="F24" s="23" t="str">
        <f aca="false">IF($B24="","",YEAR($B24)&amp;"-"&amp;TEXT(MONTH($B24),"00"))</f>
        <v/>
      </c>
    </row>
    <row r="25" customFormat="false" ht="15" hidden="false" customHeight="false" outlineLevel="0" collapsed="false">
      <c r="A25" s="23"/>
      <c r="B25" s="27"/>
      <c r="C25" s="23"/>
      <c r="D25" s="23"/>
      <c r="E25" s="23"/>
      <c r="F25" s="23" t="str">
        <f aca="false">IF($B25="","",YEAR($B25)&amp;"-"&amp;TEXT(MONTH($B25),"00"))</f>
        <v/>
      </c>
    </row>
    <row r="26" customFormat="false" ht="15" hidden="false" customHeight="false" outlineLevel="0" collapsed="false">
      <c r="A26" s="23"/>
      <c r="B26" s="27"/>
      <c r="C26" s="23"/>
      <c r="D26" s="23"/>
      <c r="E26" s="23"/>
      <c r="F26" s="23" t="str">
        <f aca="false">IF($B26="","",YEAR($B26)&amp;"-"&amp;TEXT(MONTH($B26),"00"))</f>
        <v/>
      </c>
    </row>
    <row r="27" customFormat="false" ht="15" hidden="false" customHeight="false" outlineLevel="0" collapsed="false">
      <c r="A27" s="23"/>
      <c r="B27" s="27"/>
      <c r="C27" s="23"/>
      <c r="D27" s="23"/>
      <c r="E27" s="23"/>
      <c r="F27" s="23" t="str">
        <f aca="false">IF($B27="","",YEAR($B27)&amp;"-"&amp;TEXT(MONTH($B27),"00"))</f>
        <v/>
      </c>
    </row>
    <row r="28" customFormat="false" ht="15" hidden="false" customHeight="false" outlineLevel="0" collapsed="false">
      <c r="A28" s="23"/>
      <c r="B28" s="27"/>
      <c r="C28" s="23"/>
      <c r="D28" s="23"/>
      <c r="E28" s="23"/>
      <c r="F28" s="23" t="str">
        <f aca="false">IF($B28="","",YEAR($B28)&amp;"-"&amp;TEXT(MONTH($B28),"00"))</f>
        <v/>
      </c>
    </row>
    <row r="29" customFormat="false" ht="15" hidden="false" customHeight="false" outlineLevel="0" collapsed="false">
      <c r="A29" s="23"/>
      <c r="B29" s="27"/>
      <c r="C29" s="23"/>
      <c r="D29" s="23"/>
      <c r="E29" s="23"/>
      <c r="F29" s="23" t="str">
        <f aca="false">IF($B29="","",YEAR($B29)&amp;"-"&amp;TEXT(MONTH($B29),"00"))</f>
        <v/>
      </c>
    </row>
    <row r="30" customFormat="false" ht="15" hidden="false" customHeight="false" outlineLevel="0" collapsed="false">
      <c r="A30" s="23"/>
      <c r="B30" s="27"/>
      <c r="C30" s="23"/>
      <c r="D30" s="23"/>
      <c r="E30" s="23"/>
      <c r="F30" s="23" t="str">
        <f aca="false">IF($B30="","",YEAR($B30)&amp;"-"&amp;TEXT(MONTH($B30),"00"))</f>
        <v/>
      </c>
    </row>
    <row r="31" customFormat="false" ht="15" hidden="false" customHeight="false" outlineLevel="0" collapsed="false">
      <c r="A31" s="23"/>
      <c r="B31" s="27"/>
      <c r="C31" s="23"/>
      <c r="D31" s="23"/>
      <c r="E31" s="23"/>
      <c r="F31" s="23" t="str">
        <f aca="false">IF($B31="","",YEAR($B31)&amp;"-"&amp;TEXT(MONTH($B31),"00"))</f>
        <v/>
      </c>
    </row>
    <row r="32" customFormat="false" ht="15" hidden="false" customHeight="false" outlineLevel="0" collapsed="false">
      <c r="A32" s="23"/>
      <c r="B32" s="27"/>
      <c r="C32" s="23"/>
      <c r="D32" s="23"/>
      <c r="E32" s="23"/>
      <c r="F32" s="23" t="str">
        <f aca="false">IF($B32="","",YEAR($B32)&amp;"-"&amp;TEXT(MONTH($B32),"00"))</f>
        <v/>
      </c>
    </row>
    <row r="33" customFormat="false" ht="15" hidden="false" customHeight="false" outlineLevel="0" collapsed="false">
      <c r="A33" s="23"/>
      <c r="B33" s="27"/>
      <c r="C33" s="23"/>
      <c r="D33" s="23"/>
      <c r="E33" s="23"/>
      <c r="F33" s="23" t="str">
        <f aca="false">IF($B33="","",YEAR($B33)&amp;"-"&amp;TEXT(MONTH($B33),"00"))</f>
        <v/>
      </c>
    </row>
    <row r="34" customFormat="false" ht="15" hidden="false" customHeight="false" outlineLevel="0" collapsed="false">
      <c r="A34" s="23"/>
      <c r="B34" s="27"/>
      <c r="C34" s="23"/>
      <c r="D34" s="23"/>
      <c r="E34" s="23"/>
      <c r="F34" s="23" t="str">
        <f aca="false">IF($B34="","",YEAR($B34)&amp;"-"&amp;TEXT(MONTH($B34),"00"))</f>
        <v/>
      </c>
    </row>
    <row r="35" customFormat="false" ht="15" hidden="false" customHeight="false" outlineLevel="0" collapsed="false">
      <c r="A35" s="23"/>
      <c r="B35" s="27"/>
      <c r="C35" s="23"/>
      <c r="D35" s="23"/>
      <c r="E35" s="23"/>
      <c r="F35" s="23" t="str">
        <f aca="false">IF($B35="","",YEAR($B35)&amp;"-"&amp;TEXT(MONTH($B35),"00"))</f>
        <v/>
      </c>
    </row>
    <row r="36" customFormat="false" ht="15" hidden="false" customHeight="false" outlineLevel="0" collapsed="false">
      <c r="A36" s="23"/>
      <c r="B36" s="27"/>
      <c r="C36" s="23"/>
      <c r="D36" s="23"/>
      <c r="E36" s="23"/>
      <c r="F36" s="23" t="str">
        <f aca="false">IF($B36="","",YEAR($B36)&amp;"-"&amp;TEXT(MONTH($B36),"00"))</f>
        <v/>
      </c>
    </row>
    <row r="37" customFormat="false" ht="15" hidden="false" customHeight="false" outlineLevel="0" collapsed="false">
      <c r="A37" s="23"/>
      <c r="B37" s="27"/>
      <c r="C37" s="23"/>
      <c r="D37" s="23"/>
      <c r="E37" s="23"/>
      <c r="F37" s="23" t="str">
        <f aca="false">IF($B37="","",YEAR($B37)&amp;"-"&amp;TEXT(MONTH($B37),"00"))</f>
        <v/>
      </c>
    </row>
    <row r="38" customFormat="false" ht="15" hidden="false" customHeight="false" outlineLevel="0" collapsed="false">
      <c r="A38" s="23"/>
      <c r="B38" s="27"/>
      <c r="C38" s="23"/>
      <c r="D38" s="23"/>
      <c r="E38" s="23"/>
      <c r="F38" s="23" t="str">
        <f aca="false">IF($B38="","",YEAR($B38)&amp;"-"&amp;TEXT(MONTH($B38),"00"))</f>
        <v/>
      </c>
    </row>
    <row r="39" customFormat="false" ht="15" hidden="false" customHeight="false" outlineLevel="0" collapsed="false">
      <c r="A39" s="23"/>
      <c r="B39" s="27"/>
      <c r="C39" s="23"/>
      <c r="D39" s="23"/>
      <c r="E39" s="23"/>
      <c r="F39" s="23" t="str">
        <f aca="false">IF($B39="","",YEAR($B39)&amp;"-"&amp;TEXT(MONTH($B39),"00"))</f>
        <v/>
      </c>
    </row>
    <row r="40" customFormat="false" ht="15" hidden="false" customHeight="false" outlineLevel="0" collapsed="false">
      <c r="A40" s="23"/>
      <c r="B40" s="27"/>
      <c r="C40" s="23"/>
      <c r="D40" s="23"/>
      <c r="E40" s="23"/>
      <c r="F40" s="23" t="str">
        <f aca="false">IF($B40="","",YEAR($B40)&amp;"-"&amp;TEXT(MONTH($B40),"00"))</f>
        <v/>
      </c>
    </row>
    <row r="41" customFormat="false" ht="15" hidden="false" customHeight="false" outlineLevel="0" collapsed="false">
      <c r="A41" s="23"/>
      <c r="B41" s="27"/>
      <c r="C41" s="23"/>
      <c r="D41" s="23"/>
      <c r="E41" s="23"/>
      <c r="F41" s="23" t="str">
        <f aca="false">IF($B41="","",YEAR($B41)&amp;"-"&amp;TEXT(MONTH($B41),"00"))</f>
        <v/>
      </c>
    </row>
  </sheetData>
  <autoFilter ref="A1:F41"/>
  <dataValidations count="2">
    <dataValidation allowBlank="true" errorStyle="stop" operator="between" showDropDown="false" showErrorMessage="false" showInputMessage="false" sqref="D2:D41" type="list">
      <formula1>Lists!$E$2:$E$6</formula1>
      <formula2>0</formula2>
    </dataValidation>
    <dataValidation allowBlank="true" errorStyle="stop" operator="between" showDropDown="false" showErrorMessage="false" showInputMessage="false" sqref="E2:E41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26" t="s">
        <v>66</v>
      </c>
      <c r="B1" s="26" t="s">
        <v>67</v>
      </c>
      <c r="C1" s="26" t="s">
        <v>68</v>
      </c>
      <c r="D1" s="26" t="s">
        <v>69</v>
      </c>
      <c r="E1" s="26" t="s">
        <v>70</v>
      </c>
      <c r="F1" s="26" t="s">
        <v>71</v>
      </c>
      <c r="G1" s="26" t="s">
        <v>22</v>
      </c>
    </row>
    <row r="2" customFormat="false" ht="15" hidden="false" customHeight="false" outlineLevel="0" collapsed="false">
      <c r="A2" s="23" t="s">
        <v>72</v>
      </c>
      <c r="B2" s="27" t="n">
        <v>46211</v>
      </c>
      <c r="C2" s="23" t="s">
        <v>73</v>
      </c>
      <c r="D2" s="23" t="s">
        <v>74</v>
      </c>
      <c r="E2" s="23" t="s">
        <v>75</v>
      </c>
      <c r="F2" s="23" t="s">
        <v>76</v>
      </c>
      <c r="G2" s="23" t="str">
        <f aca="false">IF($B2="","",YEAR($B2)&amp;"-"&amp;TEXT(MONTH($B2),"00"))</f>
        <v>2026-07</v>
      </c>
    </row>
    <row r="3" customFormat="false" ht="15" hidden="false" customHeight="false" outlineLevel="0" collapsed="false">
      <c r="A3" s="23" t="s">
        <v>77</v>
      </c>
      <c r="B3" s="27" t="n">
        <v>46225</v>
      </c>
      <c r="C3" s="23" t="s">
        <v>78</v>
      </c>
      <c r="D3" s="23" t="s">
        <v>79</v>
      </c>
      <c r="E3" s="23" t="s">
        <v>75</v>
      </c>
      <c r="F3" s="23" t="s">
        <v>76</v>
      </c>
      <c r="G3" s="23" t="str">
        <f aca="false">IF($B3="","",YEAR($B3)&amp;"-"&amp;TEXT(MONTH($B3),"00"))</f>
        <v>2026-07</v>
      </c>
    </row>
    <row r="4" customFormat="false" ht="15" hidden="false" customHeight="false" outlineLevel="0" collapsed="false">
      <c r="A4" s="23" t="s">
        <v>80</v>
      </c>
      <c r="B4" s="27" t="n">
        <v>46240</v>
      </c>
      <c r="C4" s="23" t="s">
        <v>81</v>
      </c>
      <c r="D4" s="23" t="s">
        <v>74</v>
      </c>
      <c r="E4" s="23" t="s">
        <v>82</v>
      </c>
      <c r="F4" s="23" t="s">
        <v>83</v>
      </c>
      <c r="G4" s="23" t="str">
        <f aca="false">IF($B4="","",YEAR($B4)&amp;"-"&amp;TEXT(MONTH($B4),"00"))</f>
        <v>2026-08</v>
      </c>
    </row>
    <row r="5" customFormat="false" ht="15" hidden="false" customHeight="false" outlineLevel="0" collapsed="false">
      <c r="A5" s="23" t="s">
        <v>84</v>
      </c>
      <c r="B5" s="27" t="n">
        <v>46259</v>
      </c>
      <c r="C5" s="23" t="s">
        <v>85</v>
      </c>
      <c r="D5" s="23" t="s">
        <v>74</v>
      </c>
      <c r="E5" s="23" t="s">
        <v>86</v>
      </c>
      <c r="F5" s="23" t="s">
        <v>76</v>
      </c>
      <c r="G5" s="23" t="str">
        <f aca="false">IF($B5="","",YEAR($B5)&amp;"-"&amp;TEXT(MONTH($B5),"00"))</f>
        <v>2026-08</v>
      </c>
    </row>
    <row r="6" customFormat="false" ht="15" hidden="false" customHeight="false" outlineLevel="0" collapsed="false">
      <c r="A6" s="23" t="s">
        <v>87</v>
      </c>
      <c r="B6" s="27" t="n">
        <v>46274</v>
      </c>
      <c r="C6" s="23" t="s">
        <v>88</v>
      </c>
      <c r="D6" s="23" t="s">
        <v>79</v>
      </c>
      <c r="E6" s="23" t="s">
        <v>89</v>
      </c>
      <c r="F6" s="23" t="s">
        <v>76</v>
      </c>
      <c r="G6" s="23" t="str">
        <f aca="false">IF($B6="","",YEAR($B6)&amp;"-"&amp;TEXT(MONTH($B6),"00"))</f>
        <v>2026-09</v>
      </c>
    </row>
    <row r="7" customFormat="false" ht="15" hidden="false" customHeight="false" outlineLevel="0" collapsed="false">
      <c r="A7" s="23" t="s">
        <v>90</v>
      </c>
      <c r="B7" s="27" t="n">
        <v>46288</v>
      </c>
      <c r="C7" s="23" t="s">
        <v>91</v>
      </c>
      <c r="D7" s="23" t="s">
        <v>74</v>
      </c>
      <c r="E7" s="23" t="s">
        <v>92</v>
      </c>
      <c r="F7" s="23" t="s">
        <v>83</v>
      </c>
      <c r="G7" s="23" t="str">
        <f aca="false">IF($B7="","",YEAR($B7)&amp;"-"&amp;TEXT(MONTH($B7),"00"))</f>
        <v>2026-09</v>
      </c>
    </row>
    <row r="8" customFormat="false" ht="15" hidden="false" customHeight="false" outlineLevel="0" collapsed="false">
      <c r="A8" s="23" t="s">
        <v>93</v>
      </c>
      <c r="B8" s="27" t="n">
        <v>46301</v>
      </c>
      <c r="C8" s="23" t="s">
        <v>94</v>
      </c>
      <c r="D8" s="23" t="s">
        <v>79</v>
      </c>
      <c r="E8" s="23" t="s">
        <v>86</v>
      </c>
      <c r="F8" s="23" t="s">
        <v>63</v>
      </c>
      <c r="G8" s="23" t="str">
        <f aca="false">IF($B8="","",YEAR($B8)&amp;"-"&amp;TEXT(MONTH($B8),"00"))</f>
        <v>2026-10</v>
      </c>
    </row>
    <row r="9" customFormat="false" ht="15" hidden="false" customHeight="false" outlineLevel="0" collapsed="false">
      <c r="A9" s="23" t="s">
        <v>95</v>
      </c>
      <c r="B9" s="27" t="n">
        <v>46308</v>
      </c>
      <c r="C9" s="23" t="s">
        <v>96</v>
      </c>
      <c r="D9" s="23" t="s">
        <v>74</v>
      </c>
      <c r="E9" s="23" t="s">
        <v>89</v>
      </c>
      <c r="F9" s="23" t="s">
        <v>63</v>
      </c>
      <c r="G9" s="23" t="str">
        <f aca="false">IF($B9="","",YEAR($B9)&amp;"-"&amp;TEXT(MONTH($B9),"00"))</f>
        <v>2026-10</v>
      </c>
    </row>
    <row r="10" customFormat="false" ht="15" hidden="false" customHeight="false" outlineLevel="0" collapsed="false">
      <c r="A10" s="23"/>
      <c r="B10" s="27"/>
      <c r="C10" s="23"/>
      <c r="D10" s="23"/>
      <c r="E10" s="23"/>
      <c r="F10" s="23"/>
      <c r="G10" s="23" t="str">
        <f aca="false">IF($B10="","",YEAR($B10)&amp;"-"&amp;TEXT(MONTH($B10),"00"))</f>
        <v/>
      </c>
    </row>
    <row r="11" customFormat="false" ht="15" hidden="false" customHeight="false" outlineLevel="0" collapsed="false">
      <c r="A11" s="23"/>
      <c r="B11" s="27"/>
      <c r="C11" s="23"/>
      <c r="D11" s="23"/>
      <c r="E11" s="23"/>
      <c r="F11" s="23"/>
      <c r="G11" s="23" t="str">
        <f aca="false">IF($B11="","",YEAR($B11)&amp;"-"&amp;TEXT(MONTH($B11),"00"))</f>
        <v/>
      </c>
    </row>
    <row r="12" customFormat="false" ht="15" hidden="false" customHeight="false" outlineLevel="0" collapsed="false">
      <c r="A12" s="23"/>
      <c r="B12" s="27"/>
      <c r="C12" s="23"/>
      <c r="D12" s="23"/>
      <c r="E12" s="23"/>
      <c r="F12" s="23"/>
      <c r="G12" s="23" t="str">
        <f aca="false">IF($B12="","",YEAR($B12)&amp;"-"&amp;TEXT(MONTH($B12),"00"))</f>
        <v/>
      </c>
    </row>
    <row r="13" customFormat="false" ht="15" hidden="false" customHeight="false" outlineLevel="0" collapsed="false">
      <c r="A13" s="23"/>
      <c r="B13" s="27"/>
      <c r="C13" s="23"/>
      <c r="D13" s="23"/>
      <c r="E13" s="23"/>
      <c r="F13" s="23"/>
      <c r="G13" s="23" t="str">
        <f aca="false">IF($B13="","",YEAR($B13)&amp;"-"&amp;TEXT(MONTH($B13),"00"))</f>
        <v/>
      </c>
    </row>
    <row r="14" customFormat="false" ht="15" hidden="false" customHeight="false" outlineLevel="0" collapsed="false">
      <c r="A14" s="23"/>
      <c r="B14" s="27"/>
      <c r="C14" s="23"/>
      <c r="D14" s="23"/>
      <c r="E14" s="23"/>
      <c r="F14" s="23"/>
      <c r="G14" s="23" t="str">
        <f aca="false">IF($B14="","",YEAR($B14)&amp;"-"&amp;TEXT(MONTH($B14),"00"))</f>
        <v/>
      </c>
    </row>
    <row r="15" customFormat="false" ht="15" hidden="false" customHeight="false" outlineLevel="0" collapsed="false">
      <c r="A15" s="23"/>
      <c r="B15" s="27"/>
      <c r="C15" s="23"/>
      <c r="D15" s="23"/>
      <c r="E15" s="23"/>
      <c r="F15" s="23"/>
      <c r="G15" s="23" t="str">
        <f aca="false">IF($B15="","",YEAR($B15)&amp;"-"&amp;TEXT(MONTH($B15),"00"))</f>
        <v/>
      </c>
    </row>
    <row r="16" customFormat="false" ht="15" hidden="false" customHeight="false" outlineLevel="0" collapsed="false">
      <c r="A16" s="23"/>
      <c r="B16" s="27"/>
      <c r="C16" s="23"/>
      <c r="D16" s="23"/>
      <c r="E16" s="23"/>
      <c r="F16" s="23"/>
      <c r="G16" s="23" t="str">
        <f aca="false">IF($B16="","",YEAR($B16)&amp;"-"&amp;TEXT(MONTH($B16),"00"))</f>
        <v/>
      </c>
    </row>
    <row r="17" customFormat="false" ht="15" hidden="false" customHeight="false" outlineLevel="0" collapsed="false">
      <c r="A17" s="23"/>
      <c r="B17" s="27"/>
      <c r="C17" s="23"/>
      <c r="D17" s="23"/>
      <c r="E17" s="23"/>
      <c r="F17" s="23"/>
      <c r="G17" s="23" t="str">
        <f aca="false">IF($B17="","",YEAR($B17)&amp;"-"&amp;TEXT(MONTH($B17),"00"))</f>
        <v/>
      </c>
    </row>
    <row r="18" customFormat="false" ht="15" hidden="false" customHeight="false" outlineLevel="0" collapsed="false">
      <c r="A18" s="23"/>
      <c r="B18" s="27"/>
      <c r="C18" s="23"/>
      <c r="D18" s="23"/>
      <c r="E18" s="23"/>
      <c r="F18" s="23"/>
      <c r="G18" s="23" t="str">
        <f aca="false">IF($B18="","",YEAR($B18)&amp;"-"&amp;TEXT(MONTH($B18),"00"))</f>
        <v/>
      </c>
    </row>
    <row r="19" customFormat="false" ht="15" hidden="false" customHeight="false" outlineLevel="0" collapsed="false">
      <c r="A19" s="23"/>
      <c r="B19" s="27"/>
      <c r="C19" s="23"/>
      <c r="D19" s="23"/>
      <c r="E19" s="23"/>
      <c r="F19" s="23"/>
      <c r="G19" s="23" t="str">
        <f aca="false">IF($B19="","",YEAR($B19)&amp;"-"&amp;TEXT(MONTH($B19),"00"))</f>
        <v/>
      </c>
    </row>
    <row r="20" customFormat="false" ht="15" hidden="false" customHeight="false" outlineLevel="0" collapsed="false">
      <c r="A20" s="23"/>
      <c r="B20" s="27"/>
      <c r="C20" s="23"/>
      <c r="D20" s="23"/>
      <c r="E20" s="23"/>
      <c r="F20" s="23"/>
      <c r="G20" s="23" t="str">
        <f aca="false">IF($B20="","",YEAR($B20)&amp;"-"&amp;TEXT(MONTH($B20),"00"))</f>
        <v/>
      </c>
    </row>
    <row r="21" customFormat="false" ht="15" hidden="false" customHeight="false" outlineLevel="0" collapsed="false">
      <c r="A21" s="23"/>
      <c r="B21" s="27"/>
      <c r="C21" s="23"/>
      <c r="D21" s="23"/>
      <c r="E21" s="23"/>
      <c r="F21" s="23"/>
      <c r="G21" s="23" t="str">
        <f aca="false">IF($B21="","",YEAR($B21)&amp;"-"&amp;TEXT(MONTH($B21),"00"))</f>
        <v/>
      </c>
    </row>
    <row r="22" customFormat="false" ht="15" hidden="false" customHeight="false" outlineLevel="0" collapsed="false">
      <c r="A22" s="23"/>
      <c r="B22" s="27"/>
      <c r="C22" s="23"/>
      <c r="D22" s="23"/>
      <c r="E22" s="23"/>
      <c r="F22" s="23"/>
      <c r="G22" s="23" t="str">
        <f aca="false">IF($B22="","",YEAR($B22)&amp;"-"&amp;TEXT(MONTH($B22),"00"))</f>
        <v/>
      </c>
    </row>
    <row r="23" customFormat="false" ht="15" hidden="false" customHeight="false" outlineLevel="0" collapsed="false">
      <c r="A23" s="23"/>
      <c r="B23" s="27"/>
      <c r="C23" s="23"/>
      <c r="D23" s="23"/>
      <c r="E23" s="23"/>
      <c r="F23" s="23"/>
      <c r="G23" s="23" t="str">
        <f aca="false">IF($B23="","",YEAR($B23)&amp;"-"&amp;TEXT(MONTH($B23),"00"))</f>
        <v/>
      </c>
    </row>
    <row r="24" customFormat="false" ht="15" hidden="false" customHeight="false" outlineLevel="0" collapsed="false">
      <c r="A24" s="23"/>
      <c r="B24" s="27"/>
      <c r="C24" s="23"/>
      <c r="D24" s="23"/>
      <c r="E24" s="23"/>
      <c r="F24" s="23"/>
      <c r="G24" s="23" t="str">
        <f aca="false">IF($B24="","",YEAR($B24)&amp;"-"&amp;TEXT(MONTH($B24),"00"))</f>
        <v/>
      </c>
    </row>
    <row r="25" customFormat="false" ht="15" hidden="false" customHeight="false" outlineLevel="0" collapsed="false">
      <c r="A25" s="23"/>
      <c r="B25" s="27"/>
      <c r="C25" s="23"/>
      <c r="D25" s="23"/>
      <c r="E25" s="23"/>
      <c r="F25" s="23"/>
      <c r="G25" s="23" t="str">
        <f aca="false">IF($B25="","",YEAR($B25)&amp;"-"&amp;TEXT(MONTH($B25),"00"))</f>
        <v/>
      </c>
    </row>
    <row r="26" customFormat="false" ht="15" hidden="false" customHeight="false" outlineLevel="0" collapsed="false">
      <c r="A26" s="23"/>
      <c r="B26" s="27"/>
      <c r="C26" s="23"/>
      <c r="D26" s="23"/>
      <c r="E26" s="23"/>
      <c r="F26" s="23"/>
      <c r="G26" s="23" t="str">
        <f aca="false">IF($B26="","",YEAR($B26)&amp;"-"&amp;TEXT(MONTH($B26),"00"))</f>
        <v/>
      </c>
    </row>
    <row r="27" customFormat="false" ht="15" hidden="false" customHeight="false" outlineLevel="0" collapsed="false">
      <c r="A27" s="23"/>
      <c r="B27" s="27"/>
      <c r="C27" s="23"/>
      <c r="D27" s="23"/>
      <c r="E27" s="23"/>
      <c r="F27" s="23"/>
      <c r="G27" s="23" t="str">
        <f aca="false">IF($B27="","",YEAR($B27)&amp;"-"&amp;TEXT(MONTH($B27),"00"))</f>
        <v/>
      </c>
    </row>
    <row r="28" customFormat="false" ht="15" hidden="false" customHeight="false" outlineLevel="0" collapsed="false">
      <c r="A28" s="23"/>
      <c r="B28" s="27"/>
      <c r="C28" s="23"/>
      <c r="D28" s="23"/>
      <c r="E28" s="23"/>
      <c r="F28" s="23"/>
      <c r="G28" s="23" t="str">
        <f aca="false">IF($B28="","",YEAR($B28)&amp;"-"&amp;TEXT(MONTH($B28),"00"))</f>
        <v/>
      </c>
    </row>
    <row r="29" customFormat="false" ht="15" hidden="false" customHeight="false" outlineLevel="0" collapsed="false">
      <c r="A29" s="23"/>
      <c r="B29" s="27"/>
      <c r="C29" s="23"/>
      <c r="D29" s="23"/>
      <c r="E29" s="23"/>
      <c r="F29" s="23"/>
      <c r="G29" s="23" t="str">
        <f aca="false">IF($B29="","",YEAR($B29)&amp;"-"&amp;TEXT(MONTH($B29),"00"))</f>
        <v/>
      </c>
    </row>
    <row r="30" customFormat="false" ht="15" hidden="false" customHeight="false" outlineLevel="0" collapsed="false">
      <c r="A30" s="23"/>
      <c r="B30" s="27"/>
      <c r="C30" s="23"/>
      <c r="D30" s="23"/>
      <c r="E30" s="23"/>
      <c r="F30" s="23"/>
      <c r="G30" s="23" t="str">
        <f aca="false">IF($B30="","",YEAR($B30)&amp;"-"&amp;TEXT(MONTH($B30),"00"))</f>
        <v/>
      </c>
    </row>
    <row r="31" customFormat="false" ht="15" hidden="false" customHeight="false" outlineLevel="0" collapsed="false">
      <c r="A31" s="23"/>
      <c r="B31" s="27"/>
      <c r="C31" s="23"/>
      <c r="D31" s="23"/>
      <c r="E31" s="23"/>
      <c r="F31" s="23"/>
      <c r="G31" s="23" t="str">
        <f aca="false">IF($B31="","",YEAR($B31)&amp;"-"&amp;TEXT(MONTH($B31),"00"))</f>
        <v/>
      </c>
    </row>
    <row r="32" customFormat="false" ht="15" hidden="false" customHeight="false" outlineLevel="0" collapsed="false">
      <c r="A32" s="23"/>
      <c r="B32" s="27"/>
      <c r="C32" s="23"/>
      <c r="D32" s="23"/>
      <c r="E32" s="23"/>
      <c r="F32" s="23"/>
      <c r="G32" s="23" t="str">
        <f aca="false">IF($B32="","",YEAR($B32)&amp;"-"&amp;TEXT(MONTH($B32),"00"))</f>
        <v/>
      </c>
    </row>
    <row r="33" customFormat="false" ht="15" hidden="false" customHeight="false" outlineLevel="0" collapsed="false">
      <c r="A33" s="23"/>
      <c r="B33" s="27"/>
      <c r="C33" s="23"/>
      <c r="D33" s="23"/>
      <c r="E33" s="23"/>
      <c r="F33" s="23"/>
      <c r="G33" s="23" t="str">
        <f aca="false">IF($B33="","",YEAR($B33)&amp;"-"&amp;TEXT(MONTH($B33),"00"))</f>
        <v/>
      </c>
    </row>
    <row r="34" customFormat="false" ht="15" hidden="false" customHeight="false" outlineLevel="0" collapsed="false">
      <c r="A34" s="23"/>
      <c r="B34" s="27"/>
      <c r="C34" s="23"/>
      <c r="D34" s="23"/>
      <c r="E34" s="23"/>
      <c r="F34" s="23"/>
      <c r="G34" s="23" t="str">
        <f aca="false">IF($B34="","",YEAR($B34)&amp;"-"&amp;TEXT(MONTH($B34),"00"))</f>
        <v/>
      </c>
    </row>
    <row r="35" customFormat="false" ht="15" hidden="false" customHeight="false" outlineLevel="0" collapsed="false">
      <c r="A35" s="23"/>
      <c r="B35" s="27"/>
      <c r="C35" s="23"/>
      <c r="D35" s="23"/>
      <c r="E35" s="23"/>
      <c r="F35" s="23"/>
      <c r="G35" s="23" t="str">
        <f aca="false">IF($B35="","",YEAR($B35)&amp;"-"&amp;TEXT(MONTH($B35),"00"))</f>
        <v/>
      </c>
    </row>
    <row r="36" customFormat="false" ht="15" hidden="false" customHeight="false" outlineLevel="0" collapsed="false">
      <c r="A36" s="23"/>
      <c r="B36" s="27"/>
      <c r="C36" s="23"/>
      <c r="D36" s="23"/>
      <c r="E36" s="23"/>
      <c r="F36" s="23"/>
      <c r="G36" s="23" t="str">
        <f aca="false">IF($B36="","",YEAR($B36)&amp;"-"&amp;TEXT(MONTH($B36),"00"))</f>
        <v/>
      </c>
    </row>
    <row r="37" customFormat="false" ht="15" hidden="false" customHeight="false" outlineLevel="0" collapsed="false">
      <c r="A37" s="23"/>
      <c r="B37" s="27"/>
      <c r="C37" s="23"/>
      <c r="D37" s="23"/>
      <c r="E37" s="23"/>
      <c r="F37" s="23"/>
      <c r="G37" s="23" t="str">
        <f aca="false">IF($B37="","",YEAR($B37)&amp;"-"&amp;TEXT(MONTH($B37),"00"))</f>
        <v/>
      </c>
    </row>
    <row r="38" customFormat="false" ht="15" hidden="false" customHeight="false" outlineLevel="0" collapsed="false">
      <c r="A38" s="23"/>
      <c r="B38" s="27"/>
      <c r="C38" s="23"/>
      <c r="D38" s="23"/>
      <c r="E38" s="23"/>
      <c r="F38" s="23"/>
      <c r="G38" s="23" t="str">
        <f aca="false">IF($B38="","",YEAR($B38)&amp;"-"&amp;TEXT(MONTH($B38),"00"))</f>
        <v/>
      </c>
    </row>
    <row r="39" customFormat="false" ht="15" hidden="false" customHeight="false" outlineLevel="0" collapsed="false">
      <c r="A39" s="23"/>
      <c r="B39" s="27"/>
      <c r="C39" s="23"/>
      <c r="D39" s="23"/>
      <c r="E39" s="23"/>
      <c r="F39" s="23"/>
      <c r="G39" s="23" t="str">
        <f aca="false">IF($B39="","",YEAR($B39)&amp;"-"&amp;TEXT(MONTH($B39),"00"))</f>
        <v/>
      </c>
    </row>
    <row r="40" customFormat="false" ht="15" hidden="false" customHeight="false" outlineLevel="0" collapsed="false">
      <c r="A40" s="23"/>
      <c r="B40" s="27"/>
      <c r="C40" s="23"/>
      <c r="D40" s="23"/>
      <c r="E40" s="23"/>
      <c r="F40" s="23"/>
      <c r="G40" s="23" t="str">
        <f aca="false">IF($B40="","",YEAR($B40)&amp;"-"&amp;TEXT(MONTH($B40),"00"))</f>
        <v/>
      </c>
    </row>
    <row r="41" customFormat="false" ht="15" hidden="false" customHeight="false" outlineLevel="0" collapsed="false">
      <c r="A41" s="23"/>
      <c r="B41" s="27"/>
      <c r="C41" s="23"/>
      <c r="D41" s="23"/>
      <c r="E41" s="23"/>
      <c r="F41" s="23"/>
      <c r="G41" s="23" t="str">
        <f aca="false">IF($B41="","",YEAR($B41)&amp;"-"&amp;TEXT(MONTH($B41),"00"))</f>
        <v/>
      </c>
    </row>
  </sheetData>
  <autoFilter ref="A1:G41"/>
  <dataValidations count="1">
    <dataValidation allowBlank="true" errorStyle="stop" operator="between" showDropDown="false" showErrorMessage="false" showInputMessage="false" sqref="F2:F41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8" t="s">
        <v>97</v>
      </c>
      <c r="B1" s="23"/>
      <c r="C1" s="23"/>
      <c r="D1" s="23"/>
    </row>
    <row r="2" customFormat="false" ht="15" hidden="false" customHeight="false" outlineLevel="0" collapsed="false">
      <c r="A2" s="23" t="s">
        <v>98</v>
      </c>
      <c r="B2" s="23" t="str">
        <f aca="false">IF(Dashboard!$B$5="All","*",Dashboard!$B$5)</f>
        <v>*</v>
      </c>
      <c r="C2" s="23"/>
      <c r="D2" s="23"/>
    </row>
    <row r="3" customFormat="false" ht="15" hidden="false" customHeight="false" outlineLevel="0" collapsed="false">
      <c r="A3" s="23" t="s">
        <v>99</v>
      </c>
      <c r="B3" s="23" t="str">
        <f aca="false">IF(Dashboard!$E$5="All","*",Dashboard!$E$5)</f>
        <v>*</v>
      </c>
      <c r="C3" s="23"/>
      <c r="D3" s="23"/>
    </row>
    <row r="4" customFormat="false" ht="15" hidden="false" customHeight="false" outlineLevel="0" collapsed="false">
      <c r="A4" s="23" t="s">
        <v>100</v>
      </c>
      <c r="B4" s="23" t="str">
        <f aca="false">IF(Dashboard!$H$5="All","*",Dashboard!$H$5)</f>
        <v>*</v>
      </c>
      <c r="C4" s="23"/>
      <c r="D4" s="23"/>
    </row>
    <row r="5" customFormat="false" ht="15" hidden="false" customHeight="false" outlineLevel="0" collapsed="false">
      <c r="A5" s="23"/>
      <c r="B5" s="23"/>
      <c r="C5" s="23"/>
      <c r="D5" s="23"/>
    </row>
    <row r="6" customFormat="false" ht="15" hidden="false" customHeight="false" outlineLevel="0" collapsed="false">
      <c r="A6" s="23"/>
      <c r="B6" s="23"/>
      <c r="C6" s="23"/>
      <c r="D6" s="23"/>
    </row>
    <row r="7" customFormat="false" ht="15" hidden="false" customHeight="false" outlineLevel="0" collapsed="false">
      <c r="A7" s="29" t="s">
        <v>16</v>
      </c>
      <c r="B7" s="29" t="s">
        <v>101</v>
      </c>
      <c r="C7" s="29" t="s">
        <v>102</v>
      </c>
      <c r="D7" s="29" t="s">
        <v>103</v>
      </c>
    </row>
    <row r="8" customFormat="false" ht="15" hidden="false" customHeight="false" outlineLevel="0" collapsed="false">
      <c r="A8" s="23" t="s">
        <v>25</v>
      </c>
      <c r="B8" s="23" t="n">
        <f aca="false">COUNTIFS(Tickets!$C$2:$C$61,$A8,Tickets!$D$2:$D$61,$B$3,Tickets!$I$2:$I$61,$B$4)</f>
        <v>4</v>
      </c>
      <c r="C8" s="23" t="n">
        <f aca="false">IFERROR(ROUND(AVERAGEIFS(Tickets!$H$2:$H$61,Tickets!$C$2:$C$61,$A8,Tickets!$D$2:$D$61,$B$3,Tickets!$I$2:$I$61,$B$4),1),0)</f>
        <v>16.8</v>
      </c>
      <c r="D8" s="23" t="str">
        <f aca="false">Lists!$M$2</f>
        <v>S. Naidoo</v>
      </c>
    </row>
    <row r="9" customFormat="false" ht="15" hidden="false" customHeight="false" outlineLevel="0" collapsed="false">
      <c r="A9" s="23" t="s">
        <v>29</v>
      </c>
      <c r="B9" s="23" t="n">
        <f aca="false">COUNTIFS(Tickets!$C$2:$C$61,$A9,Tickets!$D$2:$D$61,$B$3,Tickets!$I$2:$I$61,$B$4)</f>
        <v>3</v>
      </c>
      <c r="C9" s="23" t="n">
        <f aca="false">IFERROR(ROUND(AVERAGEIFS(Tickets!$H$2:$H$61,Tickets!$C$2:$C$61,$A9,Tickets!$D$2:$D$61,$B$3,Tickets!$I$2:$I$61,$B$4),1),0)</f>
        <v>3.5</v>
      </c>
      <c r="D9" s="23" t="str">
        <f aca="false">Lists!$M$3</f>
        <v>L. Dlamini</v>
      </c>
    </row>
    <row r="10" customFormat="false" ht="15" hidden="false" customHeight="false" outlineLevel="0" collapsed="false">
      <c r="A10" s="23" t="s">
        <v>32</v>
      </c>
      <c r="B10" s="23" t="n">
        <f aca="false">COUNTIFS(Tickets!$C$2:$C$61,$A10,Tickets!$D$2:$D$61,$B$3,Tickets!$I$2:$I$61,$B$4)</f>
        <v>5</v>
      </c>
      <c r="C10" s="23" t="n">
        <f aca="false">IFERROR(ROUND(AVERAGEIFS(Tickets!$H$2:$H$61,Tickets!$C$2:$C$61,$A10,Tickets!$D$2:$D$61,$B$3,Tickets!$I$2:$I$61,$B$4),1),0)</f>
        <v>31.7</v>
      </c>
      <c r="D10" s="23" t="str">
        <f aca="false">Lists!$M$4</f>
        <v>R. Botha</v>
      </c>
    </row>
    <row r="11" customFormat="false" ht="15" hidden="false" customHeight="false" outlineLevel="0" collapsed="false">
      <c r="A11" s="23" t="s">
        <v>34</v>
      </c>
      <c r="B11" s="23" t="n">
        <f aca="false">COUNTIFS(Tickets!$C$2:$C$61,$A11,Tickets!$D$2:$D$61,$B$3,Tickets!$I$2:$I$61,$B$4)</f>
        <v>3</v>
      </c>
      <c r="C11" s="23" t="n">
        <f aca="false">IFERROR(ROUND(AVERAGEIFS(Tickets!$H$2:$H$61,Tickets!$C$2:$C$61,$A11,Tickets!$D$2:$D$61,$B$3,Tickets!$I$2:$I$61,$B$4),1),0)</f>
        <v>32.5</v>
      </c>
      <c r="D11" s="23" t="str">
        <f aca="false">Lists!$M$5</f>
        <v>K. Van Wyk</v>
      </c>
    </row>
    <row r="12" customFormat="false" ht="15" hidden="false" customHeight="false" outlineLevel="0" collapsed="false">
      <c r="A12" s="23"/>
      <c r="B12" s="23"/>
      <c r="C12" s="23"/>
      <c r="D12" s="23"/>
    </row>
    <row r="13" customFormat="false" ht="15" hidden="false" customHeight="false" outlineLevel="0" collapsed="false">
      <c r="A13" s="23"/>
      <c r="B13" s="23"/>
      <c r="C13" s="23"/>
      <c r="D13" s="23"/>
    </row>
    <row r="14" customFormat="false" ht="15" hidden="false" customHeight="false" outlineLevel="0" collapsed="false">
      <c r="A14" s="23"/>
      <c r="B14" s="23"/>
      <c r="C14" s="23"/>
      <c r="D14" s="23"/>
    </row>
    <row r="15" customFormat="false" ht="15" hidden="false" customHeight="false" outlineLevel="0" collapsed="false">
      <c r="A15" s="23"/>
      <c r="B15" s="23"/>
      <c r="C15" s="23"/>
      <c r="D15" s="23"/>
    </row>
    <row r="16" customFormat="false" ht="15" hidden="false" customHeight="false" outlineLevel="0" collapsed="false">
      <c r="A16" s="23"/>
      <c r="B16" s="23"/>
      <c r="C16" s="23"/>
      <c r="D16" s="23"/>
    </row>
    <row r="17" customFormat="false" ht="15" hidden="false" customHeight="false" outlineLevel="0" collapsed="false">
      <c r="A17" s="29" t="s">
        <v>104</v>
      </c>
      <c r="B17" s="29" t="s">
        <v>101</v>
      </c>
      <c r="C17" s="23"/>
      <c r="D17" s="23"/>
    </row>
    <row r="18" customFormat="false" ht="15" hidden="false" customHeight="false" outlineLevel="0" collapsed="false">
      <c r="A18" s="23" t="s">
        <v>105</v>
      </c>
      <c r="B18" s="23" t="n">
        <f aca="false">COUNTIFS(Tickets!$I$2:$I$61,$A18,Tickets!$C$2:$C$61,$B$2,Tickets!$D$2:$D$61,$B$3)</f>
        <v>4</v>
      </c>
      <c r="C18" s="23"/>
      <c r="D18" s="23"/>
    </row>
    <row r="19" customFormat="false" ht="15" hidden="false" customHeight="false" outlineLevel="0" collapsed="false">
      <c r="A19" s="23" t="s">
        <v>106</v>
      </c>
      <c r="B19" s="23" t="n">
        <f aca="false">COUNTIFS(Tickets!$I$2:$I$61,$A19,Tickets!$C$2:$C$61,$B$2,Tickets!$D$2:$D$61,$B$3)</f>
        <v>4</v>
      </c>
      <c r="C19" s="23"/>
      <c r="D19" s="23"/>
    </row>
    <row r="20" customFormat="false" ht="15" hidden="false" customHeight="false" outlineLevel="0" collapsed="false">
      <c r="A20" s="23" t="s">
        <v>107</v>
      </c>
      <c r="B20" s="23" t="n">
        <f aca="false">COUNTIFS(Tickets!$I$2:$I$61,$A20,Tickets!$C$2:$C$61,$B$2,Tickets!$D$2:$D$61,$B$3)</f>
        <v>4</v>
      </c>
      <c r="C20" s="23"/>
      <c r="D20" s="23"/>
    </row>
    <row r="21" customFormat="false" ht="15" hidden="false" customHeight="false" outlineLevel="0" collapsed="false">
      <c r="A21" s="23" t="s">
        <v>108</v>
      </c>
      <c r="B21" s="23" t="n">
        <f aca="false">COUNTIFS(Tickets!$I$2:$I$61,$A21,Tickets!$C$2:$C$61,$B$2,Tickets!$D$2:$D$61,$B$3)</f>
        <v>3</v>
      </c>
      <c r="C21" s="23"/>
      <c r="D21" s="23"/>
    </row>
    <row r="22" customFormat="false" ht="15" hidden="false" customHeight="false" outlineLevel="0" collapsed="false">
      <c r="A22" s="23"/>
      <c r="B22" s="23"/>
      <c r="C22" s="23"/>
      <c r="D22" s="23"/>
    </row>
    <row r="23" customFormat="false" ht="15" hidden="false" customHeight="false" outlineLevel="0" collapsed="false">
      <c r="A23" s="23"/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  <row r="25" customFormat="false" ht="15" hidden="false" customHeight="false" outlineLevel="0" collapsed="false">
      <c r="A25" s="29" t="s">
        <v>109</v>
      </c>
      <c r="B25" s="29" t="s">
        <v>101</v>
      </c>
      <c r="C25" s="23"/>
      <c r="D25" s="23"/>
    </row>
    <row r="26" customFormat="false" ht="15" hidden="false" customHeight="false" outlineLevel="0" collapsed="false">
      <c r="A26" s="23" t="s">
        <v>35</v>
      </c>
      <c r="B26" s="23" t="n">
        <f aca="false">COUNTIFS(Tickets!$D$2:$D$61,$A26,Tickets!$C$2:$C$61,$B$2,Tickets!$I$2:$I$61,$B$4)</f>
        <v>4</v>
      </c>
      <c r="C26" s="23"/>
      <c r="D26" s="23"/>
    </row>
    <row r="27" customFormat="false" ht="15" hidden="false" customHeight="false" outlineLevel="0" collapsed="false">
      <c r="A27" s="23" t="s">
        <v>30</v>
      </c>
      <c r="B27" s="23" t="n">
        <f aca="false">COUNTIFS(Tickets!$D$2:$D$61,$A27,Tickets!$C$2:$C$61,$B$2,Tickets!$I$2:$I$61,$B$4)</f>
        <v>6</v>
      </c>
      <c r="C27" s="23"/>
      <c r="D27" s="23"/>
    </row>
    <row r="28" customFormat="false" ht="15" hidden="false" customHeight="false" outlineLevel="0" collapsed="false">
      <c r="A28" s="23" t="s">
        <v>26</v>
      </c>
      <c r="B28" s="23" t="n">
        <f aca="false">COUNTIFS(Tickets!$D$2:$D$61,$A28,Tickets!$C$2:$C$61,$B$2,Tickets!$I$2:$I$61,$B$4)</f>
        <v>4</v>
      </c>
      <c r="C28" s="23"/>
      <c r="D28" s="23"/>
    </row>
    <row r="29" customFormat="false" ht="15" hidden="false" customHeight="false" outlineLevel="0" collapsed="false">
      <c r="A29" s="23" t="s">
        <v>39</v>
      </c>
      <c r="B29" s="23" t="n">
        <f aca="false">COUNTIFS(Tickets!$D$2:$D$61,$A29,Tickets!$C$2:$C$61,$B$2,Tickets!$I$2:$I$61,$B$4)</f>
        <v>1</v>
      </c>
      <c r="C29" s="23"/>
      <c r="D29" s="23"/>
    </row>
    <row r="30" customFormat="false" ht="15" hidden="false" customHeight="false" outlineLevel="0" collapsed="false">
      <c r="A30" s="23"/>
      <c r="B30" s="23"/>
      <c r="C30" s="23"/>
      <c r="D30" s="23"/>
    </row>
    <row r="31" customFormat="false" ht="15" hidden="false" customHeight="false" outlineLevel="0" collapsed="false">
      <c r="A31" s="29" t="s">
        <v>110</v>
      </c>
      <c r="B31" s="29" t="s">
        <v>56</v>
      </c>
      <c r="C31" s="29" t="s">
        <v>60</v>
      </c>
      <c r="D31" s="29" t="s">
        <v>63</v>
      </c>
    </row>
    <row r="32" customFormat="false" ht="15" hidden="false" customHeight="false" outlineLevel="0" collapsed="false">
      <c r="A32" s="23" t="s">
        <v>55</v>
      </c>
      <c r="B32" s="23" t="n">
        <f aca="false">COUNTIFS(Hardware!$D$2:$D$41,$A32,Hardware!$E$2:$E$41,B$31,Hardware!$F$2:$F$41,$B$4)</f>
        <v>1</v>
      </c>
      <c r="C32" s="23" t="n">
        <f aca="false">COUNTIFS(Hardware!$D$2:$D$41,$A32,Hardware!$E$2:$E$41,C$31,Hardware!$F$2:$F$41,$B$4)</f>
        <v>1</v>
      </c>
      <c r="D32" s="23" t="n">
        <f aca="false">COUNTIFS(Hardware!$D$2:$D$41,$A32,Hardware!$E$2:$E$41,D$31,Hardware!$F$2:$F$41,$B$4)</f>
        <v>0</v>
      </c>
    </row>
    <row r="33" customFormat="false" ht="15" hidden="false" customHeight="false" outlineLevel="0" collapsed="false">
      <c r="A33" s="23" t="s">
        <v>65</v>
      </c>
      <c r="B33" s="23" t="n">
        <f aca="false">COUNTIFS(Hardware!$D$2:$D$41,$A33,Hardware!$E$2:$E$41,B$31,Hardware!$F$2:$F$41,$B$4)</f>
        <v>0</v>
      </c>
      <c r="C33" s="23" t="n">
        <f aca="false">COUNTIFS(Hardware!$D$2:$D$41,$A33,Hardware!$E$2:$E$41,C$31,Hardware!$F$2:$F$41,$B$4)</f>
        <v>0</v>
      </c>
      <c r="D33" s="23" t="n">
        <f aca="false">COUNTIFS(Hardware!$D$2:$D$41,$A33,Hardware!$E$2:$E$41,D$31,Hardware!$F$2:$F$41,$B$4)</f>
        <v>1</v>
      </c>
    </row>
    <row r="34" customFormat="false" ht="15" hidden="false" customHeight="false" outlineLevel="0" collapsed="false">
      <c r="A34" s="23" t="s">
        <v>58</v>
      </c>
      <c r="B34" s="23" t="n">
        <f aca="false">COUNTIFS(Hardware!$D$2:$D$41,$A34,Hardware!$E$2:$E$41,B$31,Hardware!$F$2:$F$41,$B$4)</f>
        <v>1</v>
      </c>
      <c r="C34" s="23" t="n">
        <f aca="false">COUNTIFS(Hardware!$D$2:$D$41,$A34,Hardware!$E$2:$E$41,C$31,Hardware!$F$2:$F$41,$B$4)</f>
        <v>0</v>
      </c>
      <c r="D34" s="23" t="n">
        <f aca="false">COUNTIFS(Hardware!$D$2:$D$41,$A34,Hardware!$E$2:$E$41,D$31,Hardware!$F$2:$F$41,$B$4)</f>
        <v>0</v>
      </c>
    </row>
    <row r="35" customFormat="false" ht="15" hidden="false" customHeight="false" outlineLevel="0" collapsed="false">
      <c r="A35" s="23" t="s">
        <v>62</v>
      </c>
      <c r="B35" s="23" t="n">
        <f aca="false">COUNTIFS(Hardware!$D$2:$D$41,$A35,Hardware!$E$2:$E$41,B$31,Hardware!$F$2:$F$41,$B$4)</f>
        <v>0</v>
      </c>
      <c r="C35" s="23" t="n">
        <f aca="false">COUNTIFS(Hardware!$D$2:$D$41,$A35,Hardware!$E$2:$E$41,C$31,Hardware!$F$2:$F$41,$B$4)</f>
        <v>0</v>
      </c>
      <c r="D35" s="23" t="n">
        <f aca="false">COUNTIFS(Hardware!$D$2:$D$41,$A35,Hardware!$E$2:$E$41,D$31,Hardware!$F$2:$F$41,$B$4)</f>
        <v>1</v>
      </c>
    </row>
    <row r="36" customFormat="false" ht="15" hidden="false" customHeight="false" outlineLevel="0" collapsed="false">
      <c r="A36" s="23" t="s">
        <v>111</v>
      </c>
      <c r="B36" s="23" t="n">
        <f aca="false">COUNTIFS(Hardware!$D$2:$D$41,$A36,Hardware!$E$2:$E$41,B$31,Hardware!$F$2:$F$41,$B$4)</f>
        <v>0</v>
      </c>
      <c r="C36" s="23" t="n">
        <f aca="false">COUNTIFS(Hardware!$D$2:$D$41,$A36,Hardware!$E$2:$E$41,C$31,Hardware!$F$2:$F$41,$B$4)</f>
        <v>0</v>
      </c>
      <c r="D36" s="23" t="n">
        <f aca="false">COUNTIFS(Hardware!$D$2:$D$41,$A36,Hardware!$E$2:$E$41,D$31,Hardware!$F$2:$F$41,$B$4)</f>
        <v>0</v>
      </c>
    </row>
    <row r="37" customFormat="false" ht="15" hidden="false" customHeight="false" outlineLevel="0" collapsed="false">
      <c r="A37" s="23"/>
      <c r="B37" s="23"/>
      <c r="C37" s="23"/>
      <c r="D37" s="23"/>
    </row>
    <row r="38" customFormat="false" ht="15" hidden="false" customHeight="false" outlineLevel="0" collapsed="false">
      <c r="A38" s="23"/>
      <c r="B38" s="23"/>
      <c r="C38" s="23"/>
      <c r="D38" s="23"/>
    </row>
    <row r="39" customFormat="false" ht="15" hidden="false" customHeight="false" outlineLevel="0" collapsed="false">
      <c r="A39" s="23"/>
      <c r="B39" s="23"/>
      <c r="C39" s="23"/>
      <c r="D39" s="23"/>
    </row>
    <row r="40" customFormat="false" ht="15" hidden="false" customHeight="false" outlineLevel="0" collapsed="false">
      <c r="A40" s="23"/>
      <c r="B40" s="23"/>
      <c r="C40" s="23"/>
      <c r="D40" s="23"/>
    </row>
    <row r="41" customFormat="false" ht="15" hidden="false" customHeight="false" outlineLevel="0" collapsed="false">
      <c r="A41" s="29" t="s">
        <v>112</v>
      </c>
      <c r="B41" s="29" t="s">
        <v>113</v>
      </c>
      <c r="C41" s="23"/>
      <c r="D41" s="23"/>
    </row>
    <row r="42" customFormat="false" ht="15" hidden="false" customHeight="false" outlineLevel="0" collapsed="false">
      <c r="A42" s="23" t="s">
        <v>76</v>
      </c>
      <c r="B42" s="23" t="n">
        <f aca="false">COUNTIFS(ChangeRequests!$F$2:$F$41,$A42,ChangeRequests!$G$2:$G$41,$B$4)</f>
        <v>4</v>
      </c>
      <c r="C42" s="23"/>
      <c r="D42" s="23"/>
    </row>
    <row r="43" customFormat="false" ht="15" hidden="false" customHeight="false" outlineLevel="0" collapsed="false">
      <c r="A43" s="23" t="s">
        <v>83</v>
      </c>
      <c r="B43" s="23" t="n">
        <f aca="false">COUNTIFS(ChangeRequests!$F$2:$F$41,$A43,ChangeRequests!$G$2:$G$41,$B$4)</f>
        <v>2</v>
      </c>
      <c r="C43" s="23"/>
      <c r="D43" s="23"/>
    </row>
    <row r="44" customFormat="false" ht="15" hidden="false" customHeight="false" outlineLevel="0" collapsed="false">
      <c r="A44" s="23" t="s">
        <v>63</v>
      </c>
      <c r="B44" s="23" t="n">
        <f aca="false">COUNTIFS(ChangeRequests!$F$2:$F$41,$A44,ChangeRequests!$G$2:$G$41,$B$4)</f>
        <v>2</v>
      </c>
      <c r="C44" s="23"/>
      <c r="D44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  <col collapsed="false" customWidth="true" hidden="false" outlineLevel="0" max="8" min="8" style="0" width="3"/>
    <col collapsed="false" customWidth="true" hidden="false" outlineLevel="0" max="11" min="9" style="0" width="24"/>
    <col collapsed="false" customWidth="true" hidden="false" outlineLevel="0" max="12" min="12" style="0" width="3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29" t="s">
        <v>114</v>
      </c>
      <c r="B1" s="29" t="s">
        <v>17</v>
      </c>
      <c r="C1" s="29" t="s">
        <v>18</v>
      </c>
      <c r="D1" s="29" t="s">
        <v>22</v>
      </c>
      <c r="E1" s="29" t="s">
        <v>110</v>
      </c>
      <c r="F1" s="29" t="s">
        <v>115</v>
      </c>
      <c r="G1" s="29" t="s">
        <v>116</v>
      </c>
      <c r="I1" s="29" t="s">
        <v>117</v>
      </c>
      <c r="J1" s="29" t="s">
        <v>118</v>
      </c>
      <c r="K1" s="29" t="s">
        <v>119</v>
      </c>
      <c r="M1" s="29" t="s">
        <v>120</v>
      </c>
    </row>
    <row r="2" customFormat="false" ht="15" hidden="false" customHeight="false" outlineLevel="0" collapsed="false">
      <c r="A2" s="23" t="s">
        <v>25</v>
      </c>
      <c r="B2" s="23" t="s">
        <v>35</v>
      </c>
      <c r="C2" s="23" t="s">
        <v>48</v>
      </c>
      <c r="D2" s="23" t="s">
        <v>105</v>
      </c>
      <c r="E2" s="23" t="s">
        <v>55</v>
      </c>
      <c r="F2" s="23" t="s">
        <v>56</v>
      </c>
      <c r="G2" s="23" t="s">
        <v>76</v>
      </c>
      <c r="I2" s="23" t="s">
        <v>6</v>
      </c>
      <c r="J2" s="23" t="s">
        <v>6</v>
      </c>
      <c r="K2" s="23" t="s">
        <v>6</v>
      </c>
      <c r="M2" s="23" t="s">
        <v>121</v>
      </c>
    </row>
    <row r="3" customFormat="false" ht="15" hidden="false" customHeight="false" outlineLevel="0" collapsed="false">
      <c r="A3" s="23" t="s">
        <v>29</v>
      </c>
      <c r="B3" s="23" t="s">
        <v>30</v>
      </c>
      <c r="C3" s="23" t="s">
        <v>46</v>
      </c>
      <c r="D3" s="23" t="s">
        <v>106</v>
      </c>
      <c r="E3" s="23" t="s">
        <v>65</v>
      </c>
      <c r="F3" s="23" t="s">
        <v>60</v>
      </c>
      <c r="G3" s="23" t="s">
        <v>83</v>
      </c>
      <c r="I3" s="23" t="s">
        <v>25</v>
      </c>
      <c r="J3" s="23" t="s">
        <v>35</v>
      </c>
      <c r="K3" s="23" t="s">
        <v>105</v>
      </c>
      <c r="M3" s="23" t="s">
        <v>122</v>
      </c>
    </row>
    <row r="4" customFormat="false" ht="15" hidden="false" customHeight="false" outlineLevel="0" collapsed="false">
      <c r="A4" s="23" t="s">
        <v>32</v>
      </c>
      <c r="B4" s="23" t="s">
        <v>26</v>
      </c>
      <c r="C4" s="23" t="s">
        <v>27</v>
      </c>
      <c r="D4" s="23" t="s">
        <v>107</v>
      </c>
      <c r="E4" s="23" t="s">
        <v>58</v>
      </c>
      <c r="F4" s="23" t="s">
        <v>63</v>
      </c>
      <c r="G4" s="23" t="s">
        <v>63</v>
      </c>
      <c r="I4" s="23" t="s">
        <v>29</v>
      </c>
      <c r="J4" s="23" t="s">
        <v>30</v>
      </c>
      <c r="K4" s="23" t="s">
        <v>106</v>
      </c>
      <c r="M4" s="23" t="s">
        <v>123</v>
      </c>
    </row>
    <row r="5" customFormat="false" ht="15" hidden="false" customHeight="false" outlineLevel="0" collapsed="false">
      <c r="A5" s="23" t="s">
        <v>34</v>
      </c>
      <c r="B5" s="23" t="s">
        <v>39</v>
      </c>
      <c r="D5" s="23" t="s">
        <v>108</v>
      </c>
      <c r="E5" s="23" t="s">
        <v>62</v>
      </c>
      <c r="I5" s="23" t="s">
        <v>32</v>
      </c>
      <c r="J5" s="23" t="s">
        <v>26</v>
      </c>
      <c r="K5" s="23" t="s">
        <v>107</v>
      </c>
      <c r="M5" s="23" t="s">
        <v>124</v>
      </c>
    </row>
    <row r="6" customFormat="false" ht="15" hidden="false" customHeight="false" outlineLevel="0" collapsed="false">
      <c r="E6" s="23" t="s">
        <v>111</v>
      </c>
      <c r="I6" s="23" t="s">
        <v>34</v>
      </c>
      <c r="J6" s="23" t="s">
        <v>39</v>
      </c>
      <c r="K6" s="2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30" t="s">
        <v>125</v>
      </c>
    </row>
    <row r="2" customFormat="false" ht="15" hidden="false" customHeight="false" outlineLevel="0" collapsed="false">
      <c r="A2" s="31" t="s">
        <v>126</v>
      </c>
    </row>
    <row r="3" customFormat="false" ht="15" hidden="false" customHeight="false" outlineLevel="0" collapsed="false">
      <c r="A3" s="31" t="s">
        <v>127</v>
      </c>
    </row>
    <row r="4" customFormat="false" ht="15" hidden="false" customHeight="false" outlineLevel="0" collapsed="false">
      <c r="A4" s="31" t="s">
        <v>128</v>
      </c>
    </row>
    <row r="5" customFormat="false" ht="15" hidden="false" customHeight="false" outlineLevel="0" collapsed="false">
      <c r="A5" s="31" t="s">
        <v>129</v>
      </c>
    </row>
    <row r="6" customFormat="false" ht="15" hidden="false" customHeight="false" outlineLevel="0" collapsed="false">
      <c r="A6" s="31" t="s">
        <v>130</v>
      </c>
    </row>
    <row r="7" customFormat="false" ht="15" hidden="false" customHeight="false" outlineLevel="0" collapsed="false">
      <c r="A7" s="31" t="s">
        <v>131</v>
      </c>
    </row>
    <row r="8" customFormat="false" ht="15" hidden="false" customHeight="false" outlineLevel="0" collapsed="false">
      <c r="A8" s="3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2026-10-16T10:19:20Z</dcterms:created>
  <dc:creator>openpyxl</dc:creator>
  <dc:description/>
  <dc:language>en-US</dc:language>
  <cp:lastModifiedBy/>
  <dcterms:modified xsi:type="dcterms:W3CDTF">2026-10-16T10:19:23Z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
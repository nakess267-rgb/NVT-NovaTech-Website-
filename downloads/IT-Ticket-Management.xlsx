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58" documentId="11_9442316A1FDE1EABB81ADD902C9DAC4F66CAA686" xr6:coauthVersionLast="47" xr6:coauthVersionMax="47" xr10:uidLastSave="{2F5AED2B-1EF1-4C25-9ED5-9AB9FE428C80}"/>
  <bookViews>
    <workbookView xWindow="0" yWindow="0" windowWidth="16384" windowHeight="8192" tabRatio="500" firstSheet="1" activeTab="1" xr2:uid="{00000000-000D-0000-FFFF-FFFF00000000}"/>
  </bookViews>
  <sheets>
    <sheet name="Instructions" sheetId="1" r:id="rId1"/>
    <sheet name="Tickets" sheetId="2" r:id="rId2"/>
    <sheet name="Dashboard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3" l="1"/>
  <c r="D33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N50" i="2"/>
  <c r="O50" i="2" s="1"/>
  <c r="M50" i="2"/>
  <c r="K50" i="2"/>
  <c r="I50" i="2"/>
  <c r="H50" i="2"/>
  <c r="F50" i="2"/>
  <c r="J50" i="2" s="1"/>
  <c r="A50" i="2"/>
  <c r="N49" i="2"/>
  <c r="O49" i="2" s="1"/>
  <c r="M49" i="2"/>
  <c r="K49" i="2"/>
  <c r="I49" i="2"/>
  <c r="H49" i="2"/>
  <c r="F49" i="2"/>
  <c r="J49" i="2" s="1"/>
  <c r="A49" i="2"/>
  <c r="N48" i="2"/>
  <c r="O48" i="2" s="1"/>
  <c r="M48" i="2"/>
  <c r="K48" i="2"/>
  <c r="I48" i="2"/>
  <c r="H48" i="2"/>
  <c r="F48" i="2"/>
  <c r="J48" i="2" s="1"/>
  <c r="A48" i="2"/>
  <c r="N47" i="2"/>
  <c r="O47" i="2" s="1"/>
  <c r="M47" i="2"/>
  <c r="K47" i="2"/>
  <c r="I47" i="2"/>
  <c r="H47" i="2"/>
  <c r="F47" i="2"/>
  <c r="J47" i="2" s="1"/>
  <c r="A47" i="2"/>
  <c r="N46" i="2"/>
  <c r="O46" i="2" s="1"/>
  <c r="M46" i="2"/>
  <c r="K46" i="2"/>
  <c r="I46" i="2"/>
  <c r="H46" i="2"/>
  <c r="F46" i="2"/>
  <c r="J46" i="2" s="1"/>
  <c r="A46" i="2"/>
  <c r="N45" i="2"/>
  <c r="O45" i="2" s="1"/>
  <c r="M45" i="2"/>
  <c r="K45" i="2"/>
  <c r="I45" i="2"/>
  <c r="H45" i="2"/>
  <c r="F45" i="2"/>
  <c r="J45" i="2" s="1"/>
  <c r="A45" i="2"/>
  <c r="N44" i="2"/>
  <c r="O44" i="2" s="1"/>
  <c r="M44" i="2"/>
  <c r="K44" i="2"/>
  <c r="I44" i="2"/>
  <c r="H44" i="2"/>
  <c r="F44" i="2"/>
  <c r="J44" i="2" s="1"/>
  <c r="A44" i="2"/>
  <c r="N43" i="2"/>
  <c r="O43" i="2" s="1"/>
  <c r="M43" i="2"/>
  <c r="K43" i="2"/>
  <c r="I43" i="2"/>
  <c r="H43" i="2"/>
  <c r="F43" i="2"/>
  <c r="J43" i="2" s="1"/>
  <c r="A43" i="2"/>
  <c r="N42" i="2"/>
  <c r="O42" i="2" s="1"/>
  <c r="M42" i="2"/>
  <c r="K42" i="2"/>
  <c r="I42" i="2"/>
  <c r="H42" i="2"/>
  <c r="F42" i="2"/>
  <c r="J42" i="2" s="1"/>
  <c r="A42" i="2"/>
  <c r="N41" i="2"/>
  <c r="O41" i="2" s="1"/>
  <c r="M41" i="2"/>
  <c r="K41" i="2"/>
  <c r="I41" i="2"/>
  <c r="H41" i="2"/>
  <c r="F41" i="2"/>
  <c r="J41" i="2" s="1"/>
  <c r="A41" i="2"/>
  <c r="N40" i="2"/>
  <c r="O40" i="2" s="1"/>
  <c r="M40" i="2"/>
  <c r="K40" i="2"/>
  <c r="I40" i="2"/>
  <c r="H40" i="2"/>
  <c r="F40" i="2"/>
  <c r="J40" i="2" s="1"/>
  <c r="A40" i="2"/>
  <c r="N39" i="2"/>
  <c r="O39" i="2" s="1"/>
  <c r="M39" i="2"/>
  <c r="K39" i="2"/>
  <c r="I39" i="2"/>
  <c r="H39" i="2"/>
  <c r="F39" i="2"/>
  <c r="J39" i="2" s="1"/>
  <c r="A39" i="2"/>
  <c r="N38" i="2"/>
  <c r="O38" i="2" s="1"/>
  <c r="M38" i="2"/>
  <c r="K38" i="2"/>
  <c r="I38" i="2"/>
  <c r="H38" i="2"/>
  <c r="F38" i="2"/>
  <c r="J38" i="2" s="1"/>
  <c r="A38" i="2"/>
  <c r="N37" i="2"/>
  <c r="O37" i="2" s="1"/>
  <c r="M37" i="2"/>
  <c r="K37" i="2"/>
  <c r="I37" i="2"/>
  <c r="H37" i="2"/>
  <c r="F37" i="2"/>
  <c r="J37" i="2" s="1"/>
  <c r="A37" i="2"/>
  <c r="N36" i="2"/>
  <c r="O36" i="2" s="1"/>
  <c r="M36" i="2"/>
  <c r="K36" i="2"/>
  <c r="I36" i="2"/>
  <c r="H36" i="2"/>
  <c r="F36" i="2"/>
  <c r="J36" i="2" s="1"/>
  <c r="A36" i="2"/>
  <c r="N35" i="2"/>
  <c r="O35" i="2" s="1"/>
  <c r="M35" i="2"/>
  <c r="K35" i="2"/>
  <c r="I35" i="2"/>
  <c r="H35" i="2"/>
  <c r="F35" i="2"/>
  <c r="J35" i="2" s="1"/>
  <c r="A35" i="2"/>
  <c r="N34" i="2"/>
  <c r="O34" i="2" s="1"/>
  <c r="M34" i="2"/>
  <c r="K34" i="2"/>
  <c r="I34" i="2"/>
  <c r="H34" i="2"/>
  <c r="F34" i="2"/>
  <c r="J34" i="2" s="1"/>
  <c r="A34" i="2"/>
  <c r="N33" i="2"/>
  <c r="O33" i="2" s="1"/>
  <c r="M33" i="2"/>
  <c r="K33" i="2"/>
  <c r="I33" i="2"/>
  <c r="H33" i="2"/>
  <c r="F33" i="2"/>
  <c r="J33" i="2" s="1"/>
  <c r="A33" i="2"/>
  <c r="N32" i="2"/>
  <c r="O32" i="2" s="1"/>
  <c r="M32" i="2"/>
  <c r="K32" i="2"/>
  <c r="I32" i="2"/>
  <c r="H32" i="2"/>
  <c r="F32" i="2"/>
  <c r="J32" i="2" s="1"/>
  <c r="A32" i="2"/>
  <c r="N31" i="2"/>
  <c r="O31" i="2" s="1"/>
  <c r="M31" i="2"/>
  <c r="K31" i="2"/>
  <c r="I31" i="2"/>
  <c r="H31" i="2"/>
  <c r="F31" i="2"/>
  <c r="J31" i="2" s="1"/>
  <c r="A31" i="2"/>
  <c r="N30" i="2"/>
  <c r="O30" i="2" s="1"/>
  <c r="M30" i="2"/>
  <c r="K30" i="2"/>
  <c r="I30" i="2"/>
  <c r="H30" i="2"/>
  <c r="F30" i="2"/>
  <c r="J30" i="2" s="1"/>
  <c r="A30" i="2"/>
  <c r="N29" i="2"/>
  <c r="O29" i="2" s="1"/>
  <c r="M29" i="2"/>
  <c r="K29" i="2"/>
  <c r="I29" i="2"/>
  <c r="H29" i="2"/>
  <c r="F29" i="2"/>
  <c r="J29" i="2" s="1"/>
  <c r="A29" i="2"/>
  <c r="N28" i="2"/>
  <c r="O28" i="2" s="1"/>
  <c r="M28" i="2"/>
  <c r="K28" i="2"/>
  <c r="I28" i="2"/>
  <c r="H28" i="2"/>
  <c r="F28" i="2"/>
  <c r="J28" i="2" s="1"/>
  <c r="A28" i="2"/>
  <c r="N27" i="2"/>
  <c r="O27" i="2" s="1"/>
  <c r="M27" i="2"/>
  <c r="K27" i="2"/>
  <c r="I27" i="2"/>
  <c r="H27" i="2"/>
  <c r="F27" i="2"/>
  <c r="J27" i="2" s="1"/>
  <c r="A27" i="2"/>
  <c r="N26" i="2"/>
  <c r="O26" i="2" s="1"/>
  <c r="M26" i="2"/>
  <c r="K26" i="2"/>
  <c r="I26" i="2"/>
  <c r="H26" i="2"/>
  <c r="F26" i="2"/>
  <c r="J26" i="2" s="1"/>
  <c r="A26" i="2"/>
  <c r="N25" i="2"/>
  <c r="O25" i="2" s="1"/>
  <c r="M25" i="2"/>
  <c r="K25" i="2"/>
  <c r="I25" i="2"/>
  <c r="H25" i="2"/>
  <c r="F25" i="2"/>
  <c r="J25" i="2" s="1"/>
  <c r="A25" i="2"/>
  <c r="N24" i="2"/>
  <c r="O24" i="2" s="1"/>
  <c r="M24" i="2"/>
  <c r="K24" i="2"/>
  <c r="I24" i="2"/>
  <c r="H24" i="2"/>
  <c r="F24" i="2"/>
  <c r="J24" i="2" s="1"/>
  <c r="A24" i="2"/>
  <c r="N23" i="2"/>
  <c r="O23" i="2" s="1"/>
  <c r="M23" i="2"/>
  <c r="K23" i="2"/>
  <c r="I23" i="2"/>
  <c r="H23" i="2"/>
  <c r="F23" i="2"/>
  <c r="J23" i="2" s="1"/>
  <c r="A23" i="2"/>
  <c r="N22" i="2"/>
  <c r="O22" i="2" s="1"/>
  <c r="M22" i="2"/>
  <c r="K22" i="2"/>
  <c r="I22" i="2"/>
  <c r="H22" i="2"/>
  <c r="F22" i="2"/>
  <c r="J22" i="2" s="1"/>
  <c r="A22" i="2"/>
  <c r="N21" i="2"/>
  <c r="O21" i="2" s="1"/>
  <c r="M21" i="2"/>
  <c r="K21" i="2"/>
  <c r="I21" i="2"/>
  <c r="H21" i="2"/>
  <c r="F21" i="2"/>
  <c r="J21" i="2" s="1"/>
  <c r="A21" i="2"/>
  <c r="N20" i="2"/>
  <c r="O20" i="2" s="1"/>
  <c r="M20" i="2"/>
  <c r="K20" i="2"/>
  <c r="I20" i="2"/>
  <c r="H20" i="2"/>
  <c r="F20" i="2"/>
  <c r="J20" i="2" s="1"/>
  <c r="A20" i="2"/>
  <c r="N19" i="2"/>
  <c r="O19" i="2" s="1"/>
  <c r="M19" i="2"/>
  <c r="K19" i="2"/>
  <c r="I19" i="2"/>
  <c r="H19" i="2"/>
  <c r="F19" i="2"/>
  <c r="J19" i="2" s="1"/>
  <c r="A19" i="2"/>
  <c r="N18" i="2"/>
  <c r="O18" i="2" s="1"/>
  <c r="M18" i="2"/>
  <c r="K18" i="2"/>
  <c r="I18" i="2"/>
  <c r="H18" i="2"/>
  <c r="F18" i="2"/>
  <c r="J18" i="2" s="1"/>
  <c r="A18" i="2"/>
  <c r="N17" i="2"/>
  <c r="O17" i="2" s="1"/>
  <c r="M17" i="2"/>
  <c r="K17" i="2"/>
  <c r="I17" i="2"/>
  <c r="H17" i="2"/>
  <c r="F17" i="2"/>
  <c r="J17" i="2" s="1"/>
  <c r="A17" i="2"/>
  <c r="N16" i="2"/>
  <c r="O16" i="2" s="1"/>
  <c r="M16" i="2"/>
  <c r="K16" i="2"/>
  <c r="I16" i="2"/>
  <c r="H16" i="2"/>
  <c r="F16" i="2"/>
  <c r="J16" i="2" s="1"/>
  <c r="A16" i="2"/>
  <c r="N15" i="2"/>
  <c r="O15" i="2" s="1"/>
  <c r="M15" i="2"/>
  <c r="K15" i="2"/>
  <c r="I15" i="2"/>
  <c r="H15" i="2"/>
  <c r="F15" i="2"/>
  <c r="J15" i="2" s="1"/>
  <c r="A15" i="2"/>
  <c r="N14" i="2"/>
  <c r="O14" i="2" s="1"/>
  <c r="M14" i="2"/>
  <c r="K14" i="2"/>
  <c r="I14" i="2"/>
  <c r="H14" i="2"/>
  <c r="F14" i="2"/>
  <c r="J14" i="2" s="1"/>
  <c r="A14" i="2"/>
  <c r="N13" i="2"/>
  <c r="O13" i="2" s="1"/>
  <c r="M13" i="2"/>
  <c r="K13" i="2"/>
  <c r="I13" i="2"/>
  <c r="H13" i="2"/>
  <c r="F13" i="2"/>
  <c r="J13" i="2" s="1"/>
  <c r="A13" i="2"/>
  <c r="N12" i="2"/>
  <c r="O12" i="2" s="1"/>
  <c r="M12" i="2"/>
  <c r="K12" i="2"/>
  <c r="I12" i="2"/>
  <c r="H12" i="2"/>
  <c r="F12" i="2"/>
  <c r="J12" i="2" s="1"/>
  <c r="A12" i="2"/>
  <c r="N11" i="2"/>
  <c r="O11" i="2" s="1"/>
  <c r="M11" i="2"/>
  <c r="K11" i="2"/>
  <c r="I11" i="2"/>
  <c r="H11" i="2"/>
  <c r="F11" i="2"/>
  <c r="J11" i="2" s="1"/>
  <c r="A11" i="2"/>
  <c r="N10" i="2"/>
  <c r="O10" i="2" s="1"/>
  <c r="M10" i="2"/>
  <c r="K10" i="2"/>
  <c r="I10" i="2"/>
  <c r="H10" i="2"/>
  <c r="F10" i="2"/>
  <c r="J10" i="2" s="1"/>
  <c r="A10" i="2"/>
  <c r="N9" i="2"/>
  <c r="O9" i="2" s="1"/>
  <c r="M9" i="2"/>
  <c r="K9" i="2"/>
  <c r="I9" i="2"/>
  <c r="H9" i="2"/>
  <c r="F9" i="2"/>
  <c r="J9" i="2" s="1"/>
  <c r="A9" i="2"/>
  <c r="N8" i="2"/>
  <c r="O8" i="2" s="1"/>
  <c r="M8" i="2"/>
  <c r="K8" i="2"/>
  <c r="I8" i="2"/>
  <c r="H8" i="2"/>
  <c r="F8" i="2"/>
  <c r="J8" i="2" s="1"/>
  <c r="A8" i="2"/>
  <c r="N7" i="2"/>
  <c r="O7" i="2" s="1"/>
  <c r="M7" i="2"/>
  <c r="K7" i="2"/>
  <c r="I7" i="2"/>
  <c r="H7" i="2"/>
  <c r="F7" i="2"/>
  <c r="J7" i="2" s="1"/>
  <c r="A7" i="2"/>
  <c r="N6" i="2"/>
  <c r="O6" i="2" s="1"/>
  <c r="M6" i="2"/>
  <c r="K6" i="2"/>
  <c r="I6" i="2"/>
  <c r="H6" i="2"/>
  <c r="F6" i="2"/>
  <c r="J6" i="2" s="1"/>
  <c r="A6" i="2"/>
  <c r="N5" i="2"/>
  <c r="O5" i="2" s="1"/>
  <c r="M5" i="2"/>
  <c r="K5" i="2"/>
  <c r="I5" i="2"/>
  <c r="H5" i="2"/>
  <c r="F5" i="2"/>
  <c r="J5" i="2" s="1"/>
  <c r="A5" i="2"/>
  <c r="N4" i="2"/>
  <c r="O4" i="2" s="1"/>
  <c r="I4" i="2"/>
  <c r="H4" i="2"/>
  <c r="F4" i="2"/>
  <c r="J4" i="2" s="1"/>
  <c r="K4" i="2" s="1"/>
  <c r="A4" i="2"/>
  <c r="N3" i="2"/>
  <c r="O3" i="2" s="1"/>
  <c r="I3" i="2"/>
  <c r="H3" i="2"/>
  <c r="F3" i="2"/>
  <c r="A3" i="2"/>
  <c r="N2" i="2"/>
  <c r="O2" i="2" s="1"/>
  <c r="J2" i="2"/>
  <c r="K2" i="2" s="1"/>
  <c r="M2" i="2" s="1"/>
  <c r="A2" i="2"/>
  <c r="H6" i="3" s="1"/>
  <c r="M4" i="2" l="1"/>
  <c r="D15" i="3"/>
  <c r="D18" i="3"/>
  <c r="C18" i="3"/>
  <c r="C17" i="3"/>
  <c r="C16" i="3"/>
  <c r="C15" i="3"/>
  <c r="J3" i="2"/>
  <c r="K3" i="2" s="1"/>
  <c r="M3" i="2" s="1"/>
  <c r="D17" i="3" s="1"/>
  <c r="F6" i="3"/>
  <c r="D6" i="3"/>
  <c r="B6" i="3"/>
  <c r="C22" i="3" l="1"/>
  <c r="C21" i="3"/>
  <c r="C20" i="3"/>
  <c r="F10" i="3"/>
  <c r="D10" i="3"/>
  <c r="B10" i="3"/>
  <c r="D16" i="3"/>
</calcChain>
</file>

<file path=xl/sharedStrings.xml><?xml version="1.0" encoding="utf-8"?>
<sst xmlns="http://schemas.openxmlformats.org/spreadsheetml/2006/main" count="116" uniqueCount="99">
  <si>
    <t>NovaTech GA — Node Volatility Tracker [NVT]</t>
  </si>
  <si>
    <t>IT Service Desk — Ticket Logging &amp; SLA Tracking System</t>
  </si>
  <si>
    <t>HELPLINE</t>
  </si>
  <si>
    <t>NovaTech Service Desk: +27 (0)11 555 0142  (available Mon–Fri, 07:00–19:00)</t>
  </si>
  <si>
    <t>Critical / system-down incidents: call immediately, in addition to logging a ticket below.</t>
  </si>
  <si>
    <t>HOW TO LOG A TICKET</t>
  </si>
  <si>
    <t>1.</t>
  </si>
  <si>
    <t>Open the 'Tickets' tab.</t>
  </si>
  <si>
    <t>2.</t>
  </si>
  <si>
    <t>Go to the next blank row and enter the Timestamp, your Name, Department, and a short Description of the issue.</t>
  </si>
  <si>
    <t>3.</t>
  </si>
  <si>
    <t>Select a Request Category from the dropdown. Priority Level and Assigned Technician populate automatically based on the category selected.</t>
  </si>
  <si>
    <t>4.</t>
  </si>
  <si>
    <t>If the auto-filled Priority or Technician is not correct for this specific issue, override it using its dropdown.</t>
  </si>
  <si>
    <t>5.</t>
  </si>
  <si>
    <t>Current Status starts as 'Open' automatically. The Service Desk updates it to 'In Progress' and 'Resolved' as work proceeds.</t>
  </si>
  <si>
    <t>6.</t>
  </si>
  <si>
    <t>Save the workbook. The ticket's SLA countdown, deadline, and status are now tracked automatically on the 'Dashboard' tab.</t>
  </si>
  <si>
    <t>SYSTEM OPERATING NOTES</t>
  </si>
  <si>
    <t>Colour key</t>
  </si>
  <si>
    <t>Yellow fill</t>
  </si>
  <si>
    <t>Field entered manually (Requester, Department, Category, Description) or by the connected Microsoft Form.</t>
  </si>
  <si>
    <t>White fill</t>
  </si>
  <si>
    <t>Automatic field — Incident ID, Priority suggestion, Assigned Technician suggestion, Status default, Target Hours, Deadline, SLA Status, Category Load.</t>
  </si>
  <si>
    <t>SLA targets</t>
  </si>
  <si>
    <t>Critical</t>
  </si>
  <si>
    <t>2 hours</t>
  </si>
  <si>
    <t>High</t>
  </si>
  <si>
    <t>8 hours</t>
  </si>
  <si>
    <t>Medium</t>
  </si>
  <si>
    <t>24 hours</t>
  </si>
  <si>
    <t>Low</t>
  </si>
  <si>
    <t>48 hours</t>
  </si>
  <si>
    <t>Category → default Priority / Technician</t>
  </si>
  <si>
    <t>Network/Connectivity</t>
  </si>
  <si>
    <t>Critical — S. Naidoo</t>
  </si>
  <si>
    <t>Account &amp; Access</t>
  </si>
  <si>
    <t>High — L. Dlamini</t>
  </si>
  <si>
    <t>Hardware</t>
  </si>
  <si>
    <t>Medium — R. Botha</t>
  </si>
  <si>
    <t>Software</t>
  </si>
  <si>
    <t>Medium — K. van Wyk</t>
  </si>
  <si>
    <t>Email</t>
  </si>
  <si>
    <t>Medium — T. Mahlangu</t>
  </si>
  <si>
    <t>Printer/Peripheral</t>
  </si>
  <si>
    <t>Low — M. Khumalo</t>
  </si>
  <si>
    <t>Other</t>
  </si>
  <si>
    <t>Medium — Unassigned</t>
  </si>
  <si>
    <t>Category Load flag</t>
  </si>
  <si>
    <t>STABLE</t>
  </si>
  <si>
    <t>Category has been logged 0–2 times.</t>
  </si>
  <si>
    <t>WATCH</t>
  </si>
  <si>
    <t>Category has been logged 3–5 times — monitor for a recurring root cause.</t>
  </si>
  <si>
    <t>AT RISK</t>
  </si>
  <si>
    <t>Category has been logged 6+ times — escalate to the relevant department for investigation.</t>
  </si>
  <si>
    <t>Row 2</t>
  </si>
  <si>
    <t>Worked example — also demonstrates manually overriding an auto-suggested Priority/Status.</t>
  </si>
  <si>
    <t>Incident ID</t>
  </si>
  <si>
    <t>Timestamp Submitted</t>
  </si>
  <si>
    <t>Requester Name</t>
  </si>
  <si>
    <t>Department</t>
  </si>
  <si>
    <t>Request Category</t>
  </si>
  <si>
    <t>Priority Level</t>
  </si>
  <si>
    <t>Short Description of Issue</t>
  </si>
  <si>
    <t>Assigned Technician</t>
  </si>
  <si>
    <t>Current Status</t>
  </si>
  <si>
    <t>Target Resolution (hrs)</t>
  </si>
  <si>
    <t>Target Resolution Deadline</t>
  </si>
  <si>
    <t>Resolved Timestamp</t>
  </si>
  <si>
    <t>NVT Status</t>
  </si>
  <si>
    <t>Category Frequency</t>
  </si>
  <si>
    <t>NVT Flag</t>
  </si>
  <si>
    <t>Naledi Kekana</t>
  </si>
  <si>
    <t>Finance</t>
  </si>
  <si>
    <t>Cannot connect to VPN, blocking month-end reporting.</t>
  </si>
  <si>
    <t>S. Naidoo</t>
  </si>
  <si>
    <t>In Progress</t>
  </si>
  <si>
    <t>Nhlakanipho Nene</t>
  </si>
  <si>
    <t>Cybersecurity</t>
  </si>
  <si>
    <t>cannot log into my account</t>
  </si>
  <si>
    <t>NovaTech Service Desk — Live Dashboard</t>
  </si>
  <si>
    <t>All figures below are formulas referencing the 'Tickets' sheet — they update automatically.</t>
  </si>
  <si>
    <t>OPEN</t>
  </si>
  <si>
    <t>IN PROGRESS</t>
  </si>
  <si>
    <t>RESOLVED</t>
  </si>
  <si>
    <t>TOTAL LOGGED</t>
  </si>
  <si>
    <t>ON TIME</t>
  </si>
  <si>
    <t>BREACHED</t>
  </si>
  <si>
    <t>Breaches by Priority</t>
  </si>
  <si>
    <t>Priority</t>
  </si>
  <si>
    <t>Total Tickets</t>
  </si>
  <si>
    <t>Breached</t>
  </si>
  <si>
    <t>SLA Status</t>
  </si>
  <si>
    <t>Count</t>
  </si>
  <si>
    <t>On Time</t>
  </si>
  <si>
    <t>At Risk</t>
  </si>
  <si>
    <t>Node Volatilty Tracker</t>
  </si>
  <si>
    <t>Times Logged</t>
  </si>
  <si>
    <t>Load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</si>
</sst>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7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666666"/>
      <name val="Arial"/>
      <charset val="1"/>
    </font>
    <font>
      <b/>
      <sz val="12"/>
      <color rgb="FF1F3864"/>
      <name val="Arial"/>
      <charset val="1"/>
    </font>
    <font>
      <b/>
      <sz val="12"/>
      <color rgb="FF9C0006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9"/>
      <color rgb="FFFFFFFF"/>
      <name val="Arial"/>
      <charset val="1"/>
    </font>
    <font>
      <b/>
      <sz val="20"/>
      <color rgb="FF2C5F8A"/>
      <name val="Arial"/>
      <charset val="1"/>
    </font>
    <font>
      <b/>
      <sz val="20"/>
      <color rgb="FF1F3864"/>
      <name val="Arial"/>
      <charset val="1"/>
    </font>
    <font>
      <b/>
      <sz val="20"/>
      <color rgb="FF375623"/>
      <name val="Arial"/>
      <charset val="1"/>
    </font>
    <font>
      <b/>
      <sz val="20"/>
      <color rgb="FF444444"/>
      <name val="Arial"/>
      <charset val="1"/>
    </font>
    <font>
      <b/>
      <sz val="20"/>
      <color rgb="FF9C6500"/>
      <name val="Arial"/>
      <charset val="1"/>
    </font>
    <font>
      <b/>
      <sz val="20"/>
      <color rgb="FF9C0006"/>
      <name val="Arial"/>
      <charset val="1"/>
    </font>
    <font>
      <b/>
      <sz val="12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F2CC"/>
        <bgColor rgb="FFFFE699"/>
      </patternFill>
    </fill>
    <fill>
      <patternFill patternType="solid">
        <fgColor rgb="FF2C5F8A"/>
        <bgColor rgb="FF1F4E78"/>
      </patternFill>
    </fill>
    <fill>
      <patternFill patternType="solid">
        <fgColor rgb="FF375623"/>
        <bgColor rgb="FF444444"/>
      </patternFill>
    </fill>
    <fill>
      <patternFill patternType="solid">
        <fgColor rgb="FF444444"/>
        <bgColor rgb="FF375623"/>
      </patternFill>
    </fill>
    <fill>
      <patternFill patternType="solid">
        <fgColor rgb="FF9C6500"/>
        <bgColor rgb="FF993300"/>
      </patternFill>
    </fill>
    <fill>
      <patternFill patternType="solid">
        <fgColor rgb="FF9C0006"/>
        <bgColor rgb="FF8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4" fontId="8" fillId="3" borderId="1" xfId="0" applyNumberFormat="1" applyFont="1" applyFill="1" applyBorder="1"/>
    <xf numFmtId="0" fontId="8" fillId="3" borderId="1" xfId="0" applyFont="1" applyFill="1" applyBorder="1"/>
    <xf numFmtId="164" fontId="8" fillId="0" borderId="1" xfId="0" applyNumberFormat="1" applyFont="1" applyBorder="1"/>
    <xf numFmtId="0" fontId="5" fillId="0" borderId="1" xfId="0" applyFont="1" applyBorder="1"/>
    <xf numFmtId="0" fontId="5" fillId="3" borderId="1" xfId="0" applyFont="1" applyFill="1" applyBorder="1"/>
    <xf numFmtId="0" fontId="9" fillId="4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7" fillId="2" borderId="1" xfId="0" applyFont="1" applyFill="1" applyBorder="1"/>
    <xf numFmtId="0" fontId="0" fillId="0" borderId="1" xfId="0" applyBorder="1"/>
    <xf numFmtId="0" fontId="8" fillId="3" borderId="1" xfId="0" applyFont="1" applyFill="1" applyBorder="1" applyAlignment="1">
      <alignment wrapText="1"/>
    </xf>
  </cellXfs>
  <cellStyles count="1">
    <cellStyle name="Normal" xfId="0" builtinId="0"/>
  </cellStyles>
  <dxfs count="13">
    <dxf>
      <font>
        <b/>
        <color rgb="FF375623"/>
        <name val="Arial"/>
        <charset val="1"/>
      </font>
      <fill>
        <patternFill>
          <bgColor rgb="FFC6E0B4"/>
        </patternFill>
      </fill>
    </dxf>
    <dxf>
      <font>
        <b/>
        <color rgb="FF9C65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375623"/>
        <name val="Arial"/>
        <charset val="1"/>
      </font>
      <fill>
        <patternFill>
          <bgColor rgb="FFC6E0B4"/>
        </patternFill>
      </fill>
    </dxf>
    <dxf>
      <font>
        <b/>
        <color rgb="FF9C65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375623"/>
        <name val="Arial"/>
        <charset val="1"/>
      </font>
      <fill>
        <patternFill>
          <bgColor rgb="FFC6E0B4"/>
        </patternFill>
      </fill>
    </dxf>
    <dxf>
      <font>
        <b/>
        <color rgb="FF9C65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375623"/>
        <name val="Arial"/>
        <charset val="1"/>
      </font>
      <fill>
        <patternFill>
          <bgColor rgb="FFC6E0B4"/>
        </patternFill>
      </fill>
    </dxf>
    <dxf>
      <font>
        <color rgb="FF1F4E78"/>
        <name val="Arial"/>
        <charset val="1"/>
      </font>
      <fill>
        <patternFill>
          <bgColor rgb="FFBDD7EE"/>
        </patternFill>
      </fill>
    </dxf>
    <dxf>
      <font>
        <color rgb="FF9C6500"/>
        <name val="Arial"/>
        <charset val="1"/>
      </font>
      <fill>
        <patternFill>
          <bgColor rgb="FFFFE699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D9D9D9"/>
      <rgbColor rgb="FF878787"/>
      <rgbColor rgb="FF9999FF"/>
      <rgbColor rgb="FF993366"/>
      <rgbColor rgb="FFFFF2CC"/>
      <rgbColor rgb="FFCCFFFF"/>
      <rgbColor rgb="FF660066"/>
      <rgbColor rgb="FFFF8080"/>
      <rgbColor rgb="FF2C5F8A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75623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NVT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Dashboard!$B$20:$B$22</c:f>
              <c:strCache>
                <c:ptCount val="3"/>
                <c:pt idx="0">
                  <c:v>On Time</c:v>
                </c:pt>
                <c:pt idx="1">
                  <c:v>At Risk</c:v>
                </c:pt>
                <c:pt idx="2">
                  <c:v>Breached</c:v>
                </c:pt>
              </c:strCache>
            </c:strRef>
          </c:cat>
          <c:val>
            <c:numRef>
              <c:f>Dashboard!$C$20:$C$22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A-47FC-8882-463C28F02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49713"/>
        <c:axId val="90084692"/>
      </c:barChart>
      <c:catAx>
        <c:axId val="986497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84692"/>
        <c:crosses val="autoZero"/>
        <c:auto val="1"/>
        <c:lblAlgn val="ctr"/>
        <c:lblOffset val="100"/>
        <c:noMultiLvlLbl val="0"/>
      </c:catAx>
      <c:valAx>
        <c:axId val="90084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Ticket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6497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</xdr:col>
      <xdr:colOff>361950</xdr:colOff>
      <xdr:row>8</xdr:row>
      <xdr:rowOff>152400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id="{35B26E65-0B9B-4FCF-BA6A-40D8B289709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"/>
          <a:ext cx="2562225" cy="1962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81360</xdr:rowOff>
    </xdr:from>
    <xdr:to>
      <xdr:col>12</xdr:col>
      <xdr:colOff>35280</xdr:colOff>
      <xdr:row>24</xdr:row>
      <xdr:rowOff>120600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0"/>
  <sheetViews>
    <sheetView showGridLines="0" zoomScaleNormal="100" workbookViewId="0">
      <selection activeCell="B2" sqref="B2"/>
    </sheetView>
  </sheetViews>
  <sheetFormatPr defaultColWidth="8.7109375" defaultRowHeight="15"/>
  <cols>
    <col min="1" max="1" width="3" customWidth="1"/>
    <col min="2" max="2" width="30" customWidth="1"/>
    <col min="3" max="3" width="90" customWidth="1"/>
  </cols>
  <sheetData>
    <row r="2" spans="2:2" ht="24" customHeight="1"/>
    <row r="3" spans="2:2" ht="15" customHeight="1"/>
    <row r="6" spans="2:2" ht="15" customHeight="1"/>
    <row r="7" spans="2:2" ht="23.25" customHeight="1"/>
    <row r="8" spans="2:2" ht="23.25" customHeight="1"/>
    <row r="9" spans="2:2" ht="23.25" customHeight="1"/>
    <row r="10" spans="2:2" ht="15" customHeight="1">
      <c r="B10" s="1" t="s">
        <v>0</v>
      </c>
    </row>
    <row r="11" spans="2:2" ht="15" customHeight="1">
      <c r="B11" s="2" t="s">
        <v>1</v>
      </c>
    </row>
    <row r="12" spans="2:2" ht="23.25" customHeight="1"/>
    <row r="13" spans="2:2" ht="15" customHeight="1">
      <c r="B13" s="3" t="s">
        <v>2</v>
      </c>
    </row>
    <row r="14" spans="2:2" ht="15" customHeight="1">
      <c r="B14" s="4" t="s">
        <v>3</v>
      </c>
    </row>
    <row r="15" spans="2:2" ht="15" customHeight="1">
      <c r="B15" s="5" t="s">
        <v>4</v>
      </c>
    </row>
    <row r="16" spans="2:2" ht="15" customHeight="1"/>
    <row r="17" spans="2:3" ht="15" customHeight="1">
      <c r="B17" s="3" t="s">
        <v>5</v>
      </c>
    </row>
    <row r="18" spans="2:3" ht="15" customHeight="1">
      <c r="B18" s="5" t="s">
        <v>6</v>
      </c>
      <c r="C18" s="6" t="s">
        <v>7</v>
      </c>
    </row>
    <row r="19" spans="2:3" ht="15" customHeight="1">
      <c r="B19" s="5" t="s">
        <v>8</v>
      </c>
      <c r="C19" s="6" t="s">
        <v>9</v>
      </c>
    </row>
    <row r="20" spans="2:3" ht="15" customHeight="1">
      <c r="B20" s="5" t="s">
        <v>10</v>
      </c>
      <c r="C20" s="6" t="s">
        <v>11</v>
      </c>
    </row>
    <row r="21" spans="2:3" ht="15" customHeight="1">
      <c r="B21" s="5" t="s">
        <v>12</v>
      </c>
      <c r="C21" s="6" t="s">
        <v>13</v>
      </c>
    </row>
    <row r="22" spans="2:3" ht="15" customHeight="1">
      <c r="B22" s="5" t="s">
        <v>14</v>
      </c>
      <c r="C22" s="6" t="s">
        <v>15</v>
      </c>
    </row>
    <row r="23" spans="2:3" ht="23.25" customHeight="1">
      <c r="B23" s="5" t="s">
        <v>16</v>
      </c>
      <c r="C23" s="6" t="s">
        <v>17</v>
      </c>
    </row>
    <row r="24" spans="2:3" ht="15" customHeight="1"/>
    <row r="25" spans="2:3" ht="15" customHeight="1">
      <c r="B25" s="3" t="s">
        <v>18</v>
      </c>
    </row>
    <row r="26" spans="2:3" ht="23.25" customHeight="1">
      <c r="B26" s="7" t="s">
        <v>19</v>
      </c>
      <c r="C26" s="6"/>
    </row>
    <row r="27" spans="2:3" ht="23.25" customHeight="1">
      <c r="B27" s="5" t="s">
        <v>20</v>
      </c>
      <c r="C27" s="6" t="s">
        <v>21</v>
      </c>
    </row>
    <row r="28" spans="2:3" ht="15" customHeight="1">
      <c r="B28" s="5" t="s">
        <v>22</v>
      </c>
      <c r="C28" s="6" t="s">
        <v>23</v>
      </c>
    </row>
    <row r="29" spans="2:3" ht="15" customHeight="1">
      <c r="B29" s="5"/>
      <c r="C29" s="6"/>
    </row>
    <row r="30" spans="2:3" ht="15" customHeight="1">
      <c r="B30" s="7" t="s">
        <v>24</v>
      </c>
      <c r="C30" s="6"/>
    </row>
    <row r="31" spans="2:3" ht="15" customHeight="1">
      <c r="B31" s="5" t="s">
        <v>25</v>
      </c>
      <c r="C31" s="6" t="s">
        <v>26</v>
      </c>
    </row>
    <row r="32" spans="2:3" ht="15" customHeight="1">
      <c r="B32" s="5" t="s">
        <v>27</v>
      </c>
      <c r="C32" s="6" t="s">
        <v>28</v>
      </c>
    </row>
    <row r="33" spans="2:3" ht="15" customHeight="1">
      <c r="B33" s="5" t="s">
        <v>29</v>
      </c>
      <c r="C33" s="6" t="s">
        <v>30</v>
      </c>
    </row>
    <row r="34" spans="2:3" ht="15" customHeight="1">
      <c r="B34" s="5" t="s">
        <v>31</v>
      </c>
      <c r="C34" s="6" t="s">
        <v>32</v>
      </c>
    </row>
    <row r="35" spans="2:3" ht="15" customHeight="1">
      <c r="B35" s="5"/>
      <c r="C35" s="6"/>
    </row>
    <row r="36" spans="2:3" ht="15" customHeight="1">
      <c r="B36" s="7" t="s">
        <v>33</v>
      </c>
      <c r="C36" s="6"/>
    </row>
    <row r="37" spans="2:3" ht="15" customHeight="1">
      <c r="B37" s="5" t="s">
        <v>34</v>
      </c>
      <c r="C37" s="6" t="s">
        <v>35</v>
      </c>
    </row>
    <row r="38" spans="2:3" ht="15" customHeight="1">
      <c r="B38" s="5" t="s">
        <v>36</v>
      </c>
      <c r="C38" s="6" t="s">
        <v>37</v>
      </c>
    </row>
    <row r="39" spans="2:3" ht="15" customHeight="1">
      <c r="B39" s="5" t="s">
        <v>38</v>
      </c>
      <c r="C39" s="6" t="s">
        <v>39</v>
      </c>
    </row>
    <row r="40" spans="2:3" ht="15" customHeight="1">
      <c r="B40" s="5" t="s">
        <v>40</v>
      </c>
      <c r="C40" s="6" t="s">
        <v>41</v>
      </c>
    </row>
    <row r="41" spans="2:3" ht="15" customHeight="1">
      <c r="B41" s="5" t="s">
        <v>42</v>
      </c>
      <c r="C41" s="6" t="s">
        <v>43</v>
      </c>
    </row>
    <row r="42" spans="2:3" ht="15" customHeight="1">
      <c r="B42" s="5" t="s">
        <v>44</v>
      </c>
      <c r="C42" s="6" t="s">
        <v>45</v>
      </c>
    </row>
    <row r="43" spans="2:3" ht="15" customHeight="1">
      <c r="B43" s="5" t="s">
        <v>46</v>
      </c>
      <c r="C43" s="6" t="s">
        <v>47</v>
      </c>
    </row>
    <row r="44" spans="2:3" ht="15" customHeight="1">
      <c r="B44" s="5"/>
      <c r="C44" s="6"/>
    </row>
    <row r="45" spans="2:3" ht="15" customHeight="1">
      <c r="B45" s="7" t="s">
        <v>48</v>
      </c>
      <c r="C45" s="6"/>
    </row>
    <row r="46" spans="2:3" ht="15" customHeight="1">
      <c r="B46" s="5" t="s">
        <v>49</v>
      </c>
      <c r="C46" s="6" t="s">
        <v>50</v>
      </c>
    </row>
    <row r="47" spans="2:3" ht="15" customHeight="1">
      <c r="B47" s="5" t="s">
        <v>51</v>
      </c>
      <c r="C47" s="6" t="s">
        <v>52</v>
      </c>
    </row>
    <row r="48" spans="2:3" ht="15" customHeight="1">
      <c r="B48" s="5" t="s">
        <v>53</v>
      </c>
      <c r="C48" s="6" t="s">
        <v>54</v>
      </c>
    </row>
    <row r="49" spans="2:3" ht="15" customHeight="1">
      <c r="B49" s="5"/>
      <c r="C49" s="6"/>
    </row>
    <row r="50" spans="2:3" ht="15" customHeight="1">
      <c r="B50" s="5" t="s">
        <v>55</v>
      </c>
      <c r="C50" s="6" t="s">
        <v>56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"/>
  <sheetViews>
    <sheetView showGridLines="0" tabSelected="1" zoomScaleNormal="100" workbookViewId="0">
      <pane ySplit="1" topLeftCell="A2" activePane="bottomLeft" state="frozen"/>
      <selection pane="bottomLeft" activeCell="G4" sqref="G4"/>
    </sheetView>
  </sheetViews>
  <sheetFormatPr defaultColWidth="8.7109375" defaultRowHeight="15"/>
  <cols>
    <col min="1" max="1" width="16" customWidth="1"/>
    <col min="2" max="3" width="18" customWidth="1"/>
    <col min="4" max="4" width="14" customWidth="1"/>
    <col min="5" max="5" width="20" customWidth="1"/>
    <col min="6" max="6" width="13" customWidth="1"/>
    <col min="7" max="7" width="32" customWidth="1"/>
    <col min="8" max="8" width="18" customWidth="1"/>
    <col min="9" max="9" width="13" customWidth="1"/>
    <col min="10" max="10" width="12" customWidth="1"/>
    <col min="11" max="11" width="20" customWidth="1"/>
    <col min="12" max="12" width="18" customWidth="1"/>
    <col min="13" max="13" width="12" customWidth="1"/>
    <col min="14" max="15" width="15" customWidth="1"/>
  </cols>
  <sheetData>
    <row r="1" spans="1:15" ht="31.5" customHeight="1">
      <c r="A1" s="8" t="s">
        <v>57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62</v>
      </c>
      <c r="G1" s="8" t="s">
        <v>63</v>
      </c>
      <c r="H1" s="8" t="s">
        <v>64</v>
      </c>
      <c r="I1" s="8" t="s">
        <v>65</v>
      </c>
      <c r="J1" s="8" t="s">
        <v>66</v>
      </c>
      <c r="K1" s="8" t="s">
        <v>67</v>
      </c>
      <c r="L1" s="8" t="s">
        <v>68</v>
      </c>
      <c r="M1" s="8" t="s">
        <v>69</v>
      </c>
      <c r="N1" s="8" t="s">
        <v>70</v>
      </c>
      <c r="O1" s="8" t="s">
        <v>71</v>
      </c>
    </row>
    <row r="2" spans="1:15" ht="15" customHeight="1">
      <c r="A2" s="9" t="str">
        <f>"NT-2026-"&amp;TEXT(ROW()-1,"0000")</f>
        <v>NT-2026-0001</v>
      </c>
      <c r="B2" s="10">
        <v>46260.385416666701</v>
      </c>
      <c r="C2" s="11" t="s">
        <v>72</v>
      </c>
      <c r="D2" s="11" t="s">
        <v>73</v>
      </c>
      <c r="E2" s="11" t="s">
        <v>34</v>
      </c>
      <c r="F2" s="11" t="s">
        <v>25</v>
      </c>
      <c r="G2" s="11" t="s">
        <v>74</v>
      </c>
      <c r="H2" s="11" t="s">
        <v>75</v>
      </c>
      <c r="I2" s="11" t="s">
        <v>76</v>
      </c>
      <c r="J2" s="9">
        <f>IF(F2="","",_xlfn.IFS(F2="Critical",2,F2="High",8,F2="Medium",24,F2="Low",48))</f>
        <v>2</v>
      </c>
      <c r="K2" s="12">
        <f>IF(B2="","",B2+(J2/24))</f>
        <v>46260.468750000036</v>
      </c>
      <c r="L2" s="10"/>
      <c r="M2" s="9" t="str">
        <f ca="1">IF(B2="","",IF(I2="Resolved",IF(L2&lt;=K2,"ON TIME","BREACHED"),IF(NOW()&gt;K2,"BREACHED",IF((K2-NOW())&lt;=(J2/24)*0.25,"AT RISK","ON TIME"))))</f>
        <v>BREACHED</v>
      </c>
      <c r="N2" s="13">
        <f>IF(E2="","",COUNTIF($E$2:$E$50,E2))</f>
        <v>1</v>
      </c>
      <c r="O2" s="13" t="str">
        <f>IF(N2="","",IF(N2&gt;=6,"AT RISK",IF(N2&gt;=3,"WATCH","STABLE")))</f>
        <v>STABLE</v>
      </c>
    </row>
    <row r="3" spans="1:15" ht="15" customHeight="1">
      <c r="A3" s="9" t="str">
        <f>"NT-2026-"&amp;TEXT(ROW()-1,"0000")</f>
        <v>NT-2026-0002</v>
      </c>
      <c r="B3" s="10">
        <v>46267</v>
      </c>
      <c r="C3" s="30" t="s">
        <v>77</v>
      </c>
      <c r="D3" s="11" t="s">
        <v>78</v>
      </c>
      <c r="E3" s="11" t="s">
        <v>36</v>
      </c>
      <c r="F3" s="14" t="str">
        <f>IF(E3="","",_xlfn.IFS(E3="Network/Connectivity","Critical",E3="Account &amp; Access","High",E3="Software","Medium",E3="Hardware","Medium",E3="Email","Medium",E3="Printer/Peripheral","Low",E3="Other","Medium"))</f>
        <v>High</v>
      </c>
      <c r="G3" s="11" t="s">
        <v>79</v>
      </c>
      <c r="H3" s="14" t="str">
        <f>IF(E3="","",_xlfn.IFS(E3="Hardware","R. Botha",E3="Software","K. van Wyk",E3="Network/Connectivity","S. Naidoo",E3="Account &amp; Access","L. Dlamini",E3="Email","T. Mahlangu",E3="Printer/Peripheral","M. Khumalo",E3="Other","Unassigned"))</f>
        <v>L. Dlamini</v>
      </c>
      <c r="I3" s="14" t="str">
        <f>IF(B3="","","Open")</f>
        <v>Open</v>
      </c>
      <c r="J3" s="9">
        <f>IF(F3="","",_xlfn.IFS(F3="Critical",2,F3="High",8,F3="Medium",24,F3="Low",48))</f>
        <v>8</v>
      </c>
      <c r="K3" s="12">
        <f>IF(B3="","",B3+(J3/24))</f>
        <v>46267.333333333336</v>
      </c>
      <c r="L3" s="10"/>
      <c r="M3" s="9" t="str">
        <f ca="1">IF(B3="","",IF(I3="Resolved",IF(L3&lt;=K3,"ON TIME","BREACHED"),IF(NOW()&gt;K3,"BREACHED",IF((K3-NOW())&lt;=(J3/24)*0.25,"AT RISK","ON TIME"))))</f>
        <v>BREACHED</v>
      </c>
      <c r="N3" s="13">
        <f>IF(E3="","",COUNTIF($E$2:$E$50,E3))</f>
        <v>1</v>
      </c>
      <c r="O3" s="13" t="str">
        <f>IF(N3="","",IF(N3&gt;=6,"AT RISK",IF(N3&gt;=3,"WATCH","STABLE")))</f>
        <v>STABLE</v>
      </c>
    </row>
    <row r="4" spans="1:15" ht="15" customHeight="1">
      <c r="A4" s="9" t="str">
        <f>"NT-2026-"&amp;TEXT(ROW()-1,"0000")</f>
        <v>NT-2026-0003</v>
      </c>
      <c r="B4" s="10"/>
      <c r="C4" s="11"/>
      <c r="D4" s="11"/>
      <c r="E4" s="11"/>
      <c r="F4" s="14" t="str">
        <f>IF(E4="","",_xlfn.IFS(E4="Network/Connectivity","Critical",E4="Account &amp; Access","High",E4="Software","Medium",E4="Hardware","Medium",E4="Email","Medium",E4="Printer/Peripheral","Low",E4="Other","Medium"))</f>
        <v/>
      </c>
      <c r="G4" s="11"/>
      <c r="H4" s="14" t="str">
        <f>IF(E4="","",_xlfn.IFS(E4="Hardware","R. Botha",E4="Software","K. van Wyk",E4="Network/Connectivity","S. Naidoo",E4="Account &amp; Access","L. Dlamini",E4="Email","T. Mahlangu",E4="Printer/Peripheral","M. Khumalo",E4="Other","Unassigned"))</f>
        <v/>
      </c>
      <c r="I4" s="14" t="str">
        <f>IF(B4="","","Open")</f>
        <v/>
      </c>
      <c r="J4" s="9" t="str">
        <f>IF(F4="","",_xlfn.IFS(F4="Critical",2,F4="High",8,F4="Medium",24,F4="Low",48))</f>
        <v/>
      </c>
      <c r="K4" s="12" t="str">
        <f>IF(B4="","",B4+(J4/24))</f>
        <v/>
      </c>
      <c r="L4" s="10"/>
      <c r="M4" s="9" t="str">
        <f ca="1">IF(B4="","",IF(I4="Resolved",IF(L4&lt;=K4,"ON TIME","BREACHED"),IF(NOW()&gt;K4,"BREACHED",IF((K4-NOW())&lt;=(J4/24)*0.25,"AT RISK","ON TIME"))))</f>
        <v/>
      </c>
      <c r="N4" s="13" t="str">
        <f>IF(E4="","",COUNTIF($E$2:$E$50,E4))</f>
        <v/>
      </c>
      <c r="O4" s="13" t="str">
        <f>IF(N4="","",IF(N4&gt;=6,"AT RISK",IF(N4&gt;=3,"WATCH","STABLE")))</f>
        <v/>
      </c>
    </row>
    <row r="5" spans="1:15" ht="15" customHeight="1">
      <c r="A5" s="9" t="str">
        <f>"NT-2026-"&amp;TEXT(ROW()-1,"0000")</f>
        <v>NT-2026-0004</v>
      </c>
      <c r="B5" s="10"/>
      <c r="C5" s="11"/>
      <c r="D5" s="11"/>
      <c r="E5" s="11"/>
      <c r="F5" s="14" t="str">
        <f>IF(E5="","",_xlfn.IFS(E5="Network/Connectivity","Critical",E5="Account &amp; Access","High",E5="Software","Medium",E5="Hardware","Medium",E5="Email","Medium",E5="Printer/Peripheral","Low",E5="Other","Medium"))</f>
        <v/>
      </c>
      <c r="G5" s="11"/>
      <c r="H5" s="14" t="str">
        <f>IF(E5="","",_xlfn.IFS(E5="Hardware","R. Botha",E5="Software","K. van Wyk",E5="Network/Connectivity","S. Naidoo",E5="Account &amp; Access","L. Dlamini",E5="Email","T. Mahlangu",E5="Printer/Peripheral","M. Khumalo",E5="Other","Unassigned"))</f>
        <v/>
      </c>
      <c r="I5" s="14" t="str">
        <f>IF(B5="","","Open")</f>
        <v/>
      </c>
      <c r="J5" s="9" t="str">
        <f>IF(F5="","",_xlfn.IFS(F5="Critical",2,F5="High",8,F5="Medium",24,F5="Low",48))</f>
        <v/>
      </c>
      <c r="K5" s="12" t="str">
        <f>IF(B5="","",B5+(J5/24))</f>
        <v/>
      </c>
      <c r="L5" s="10"/>
      <c r="M5" s="9" t="str">
        <f ca="1">IF(B5="","",IF(I5="Resolved",IF(L5&lt;=K5,"ON TIME","BREACHED"),IF(NOW()&gt;K5,"BREACHED",IF((K5-NOW())&lt;=(J5/24)*0.25,"AT RISK","ON TIME"))))</f>
        <v/>
      </c>
      <c r="N5" s="13" t="str">
        <f>IF(E5="","",COUNTIF($E$2:$E$50,E5))</f>
        <v/>
      </c>
      <c r="O5" s="13" t="str">
        <f>IF(N5="","",IF(N5&gt;=6,"AT RISK",IF(N5&gt;=3,"WATCH","STABLE")))</f>
        <v/>
      </c>
    </row>
    <row r="6" spans="1:15" ht="15" customHeight="1">
      <c r="A6" s="9" t="str">
        <f>"NT-2026-"&amp;TEXT(ROW()-1,"0000")</f>
        <v>NT-2026-0005</v>
      </c>
      <c r="B6" s="10"/>
      <c r="C6" s="11"/>
      <c r="D6" s="11"/>
      <c r="E6" s="11"/>
      <c r="F6" s="14" t="str">
        <f>IF(E6="","",_xlfn.IFS(E6="Network/Connectivity","Critical",E6="Account &amp; Access","High",E6="Software","Medium",E6="Hardware","Medium",E6="Email","Medium",E6="Printer/Peripheral","Low",E6="Other","Medium"))</f>
        <v/>
      </c>
      <c r="G6" s="11"/>
      <c r="H6" s="14" t="str">
        <f>IF(E6="","",_xlfn.IFS(E6="Hardware","R. Botha",E6="Software","K. van Wyk",E6="Network/Connectivity","S. Naidoo",E6="Account &amp; Access","L. Dlamini",E6="Email","T. Mahlangu",E6="Printer/Peripheral","M. Khumalo",E6="Other","Unassigned"))</f>
        <v/>
      </c>
      <c r="I6" s="14" t="str">
        <f>IF(B6="","","Open")</f>
        <v/>
      </c>
      <c r="J6" s="9" t="str">
        <f>IF(F6="","",_xlfn.IFS(F6="Critical",2,F6="High",8,F6="Medium",24,F6="Low",48))</f>
        <v/>
      </c>
      <c r="K6" s="12" t="str">
        <f>IF(B6="","",B6+(J6/24))</f>
        <v/>
      </c>
      <c r="L6" s="10"/>
      <c r="M6" s="9" t="str">
        <f ca="1">IF(B6="","",IF(I6="Resolved",IF(L6&lt;=K6,"ON TIME","BREACHED"),IF(NOW()&gt;K6,"BREACHED",IF((K6-NOW())&lt;=(J6/24)*0.25,"AT RISK","ON TIME"))))</f>
        <v/>
      </c>
      <c r="N6" s="13" t="str">
        <f>IF(E6="","",COUNTIF($E$2:$E$50,E6))</f>
        <v/>
      </c>
      <c r="O6" s="13" t="str">
        <f>IF(N6="","",IF(N6&gt;=6,"AT RISK",IF(N6&gt;=3,"WATCH","STABLE")))</f>
        <v/>
      </c>
    </row>
    <row r="7" spans="1:15" ht="15" customHeight="1">
      <c r="A7" s="9" t="str">
        <f>"NT-2026-"&amp;TEXT(ROW()-1,"0000")</f>
        <v>NT-2026-0006</v>
      </c>
      <c r="B7" s="10"/>
      <c r="C7" s="11"/>
      <c r="D7" s="11"/>
      <c r="E7" s="11"/>
      <c r="F7" s="14" t="str">
        <f>IF(E7="","",_xlfn.IFS(E7="Network/Connectivity","Critical",E7="Account &amp; Access","High",E7="Software","Medium",E7="Hardware","Medium",E7="Email","Medium",E7="Printer/Peripheral","Low",E7="Other","Medium"))</f>
        <v/>
      </c>
      <c r="G7" s="11"/>
      <c r="H7" s="14" t="str">
        <f>IF(E7="","",_xlfn.IFS(E7="Hardware","R. Botha",E7="Software","K. van Wyk",E7="Network/Connectivity","S. Naidoo",E7="Account &amp; Access","L. Dlamini",E7="Email","T. Mahlangu",E7="Printer/Peripheral","M. Khumalo",E7="Other","Unassigned"))</f>
        <v/>
      </c>
      <c r="I7" s="14" t="str">
        <f>IF(B7="","","Open")</f>
        <v/>
      </c>
      <c r="J7" s="9" t="str">
        <f>IF(F7="","",_xlfn.IFS(F7="Critical",2,F7="High",8,F7="Medium",24,F7="Low",48))</f>
        <v/>
      </c>
      <c r="K7" s="12" t="str">
        <f>IF(B7="","",B7+(J7/24))</f>
        <v/>
      </c>
      <c r="L7" s="10"/>
      <c r="M7" s="9" t="str">
        <f ca="1">IF(B7="","",IF(I7="Resolved",IF(L7&lt;=K7,"ON TIME","BREACHED"),IF(NOW()&gt;K7,"BREACHED",IF((K7-NOW())&lt;=(J7/24)*0.25,"AT RISK","ON TIME"))))</f>
        <v/>
      </c>
      <c r="N7" s="13" t="str">
        <f>IF(E7="","",COUNTIF($E$2:$E$50,E7))</f>
        <v/>
      </c>
      <c r="O7" s="13" t="str">
        <f>IF(N7="","",IF(N7&gt;=6,"AT RISK",IF(N7&gt;=3,"WATCH","STABLE")))</f>
        <v/>
      </c>
    </row>
    <row r="8" spans="1:15" ht="15" customHeight="1">
      <c r="A8" s="9" t="str">
        <f>"NT-2026-"&amp;TEXT(ROW()-1,"0000")</f>
        <v>NT-2026-0007</v>
      </c>
      <c r="B8" s="10"/>
      <c r="C8" s="11"/>
      <c r="D8" s="11"/>
      <c r="E8" s="11"/>
      <c r="F8" s="14" t="str">
        <f>IF(E8="","",_xlfn.IFS(E8="Network/Connectivity","Critical",E8="Account &amp; Access","High",E8="Software","Medium",E8="Hardware","Medium",E8="Email","Medium",E8="Printer/Peripheral","Low",E8="Other","Medium"))</f>
        <v/>
      </c>
      <c r="G8" s="11"/>
      <c r="H8" s="14" t="str">
        <f>IF(E8="","",_xlfn.IFS(E8="Hardware","R. Botha",E8="Software","K. van Wyk",E8="Network/Connectivity","S. Naidoo",E8="Account &amp; Access","L. Dlamini",E8="Email","T. Mahlangu",E8="Printer/Peripheral","M. Khumalo",E8="Other","Unassigned"))</f>
        <v/>
      </c>
      <c r="I8" s="14" t="str">
        <f>IF(B8="","","Open")</f>
        <v/>
      </c>
      <c r="J8" s="9" t="str">
        <f>IF(F8="","",_xlfn.IFS(F8="Critical",2,F8="High",8,F8="Medium",24,F8="Low",48))</f>
        <v/>
      </c>
      <c r="K8" s="12" t="str">
        <f>IF(B8="","",B8+(J8/24))</f>
        <v/>
      </c>
      <c r="L8" s="10"/>
      <c r="M8" s="9" t="str">
        <f ca="1">IF(B8="","",IF(I8="Resolved",IF(L8&lt;=K8,"ON TIME","BREACHED"),IF(NOW()&gt;K8,"BREACHED",IF((K8-NOW())&lt;=(J8/24)*0.25,"AT RISK","ON TIME"))))</f>
        <v/>
      </c>
      <c r="N8" s="13" t="str">
        <f>IF(E8="","",COUNTIF($E$2:$E$50,E8))</f>
        <v/>
      </c>
      <c r="O8" s="13" t="str">
        <f>IF(N8="","",IF(N8&gt;=6,"AT RISK",IF(N8&gt;=3,"WATCH","STABLE")))</f>
        <v/>
      </c>
    </row>
    <row r="9" spans="1:15" ht="15" customHeight="1">
      <c r="A9" s="9" t="str">
        <f>"NT-2026-"&amp;TEXT(ROW()-1,"0000")</f>
        <v>NT-2026-0008</v>
      </c>
      <c r="B9" s="10"/>
      <c r="C9" s="11"/>
      <c r="D9" s="11"/>
      <c r="E9" s="11"/>
      <c r="F9" s="14" t="str">
        <f>IF(E9="","",_xlfn.IFS(E9="Network/Connectivity","Critical",E9="Account &amp; Access","High",E9="Software","Medium",E9="Hardware","Medium",E9="Email","Medium",E9="Printer/Peripheral","Low",E9="Other","Medium"))</f>
        <v/>
      </c>
      <c r="G9" s="11"/>
      <c r="H9" s="14" t="str">
        <f>IF(E9="","",_xlfn.IFS(E9="Hardware","R. Botha",E9="Software","K. van Wyk",E9="Network/Connectivity","S. Naidoo",E9="Account &amp; Access","L. Dlamini",E9="Email","T. Mahlangu",E9="Printer/Peripheral","M. Khumalo",E9="Other","Unassigned"))</f>
        <v/>
      </c>
      <c r="I9" s="14" t="str">
        <f>IF(B9="","","Open")</f>
        <v/>
      </c>
      <c r="J9" s="9" t="str">
        <f>IF(F9="","",_xlfn.IFS(F9="Critical",2,F9="High",8,F9="Medium",24,F9="Low",48))</f>
        <v/>
      </c>
      <c r="K9" s="12" t="str">
        <f>IF(B9="","",B9+(J9/24))</f>
        <v/>
      </c>
      <c r="L9" s="10"/>
      <c r="M9" s="9" t="str">
        <f ca="1">IF(B9="","",IF(I9="Resolved",IF(L9&lt;=K9,"ON TIME","BREACHED"),IF(NOW()&gt;K9,"BREACHED",IF((K9-NOW())&lt;=(J9/24)*0.25,"AT RISK","ON TIME"))))</f>
        <v/>
      </c>
      <c r="N9" s="13" t="str">
        <f>IF(E9="","",COUNTIF($E$2:$E$50,E9))</f>
        <v/>
      </c>
      <c r="O9" s="13" t="str">
        <f>IF(N9="","",IF(N9&gt;=6,"AT RISK",IF(N9&gt;=3,"WATCH","STABLE")))</f>
        <v/>
      </c>
    </row>
    <row r="10" spans="1:15" ht="15" customHeight="1">
      <c r="A10" s="9" t="str">
        <f>"NT-2026-"&amp;TEXT(ROW()-1,"0000")</f>
        <v>NT-2026-0009</v>
      </c>
      <c r="B10" s="10"/>
      <c r="C10" s="11"/>
      <c r="D10" s="11"/>
      <c r="E10" s="11"/>
      <c r="F10" s="14" t="str">
        <f>IF(E10="","",_xlfn.IFS(E10="Network/Connectivity","Critical",E10="Account &amp; Access","High",E10="Software","Medium",E10="Hardware","Medium",E10="Email","Medium",E10="Printer/Peripheral","Low",E10="Other","Medium"))</f>
        <v/>
      </c>
      <c r="G10" s="11"/>
      <c r="H10" s="14" t="str">
        <f>IF(E10="","",_xlfn.IFS(E10="Hardware","R. Botha",E10="Software","K. van Wyk",E10="Network/Connectivity","S. Naidoo",E10="Account &amp; Access","L. Dlamini",E10="Email","T. Mahlangu",E10="Printer/Peripheral","M. Khumalo",E10="Other","Unassigned"))</f>
        <v/>
      </c>
      <c r="I10" s="14" t="str">
        <f>IF(B10="","","Open")</f>
        <v/>
      </c>
      <c r="J10" s="9" t="str">
        <f>IF(F10="","",_xlfn.IFS(F10="Critical",2,F10="High",8,F10="Medium",24,F10="Low",48))</f>
        <v/>
      </c>
      <c r="K10" s="12" t="str">
        <f>IF(B10="","",B10+(J10/24))</f>
        <v/>
      </c>
      <c r="L10" s="10"/>
      <c r="M10" s="9" t="str">
        <f ca="1">IF(B10="","",IF(I10="Resolved",IF(L10&lt;=K10,"ON TIME","BREACHED"),IF(NOW()&gt;K10,"BREACHED",IF((K10-NOW())&lt;=(J10/24)*0.25,"AT RISK","ON TIME"))))</f>
        <v/>
      </c>
      <c r="N10" s="13" t="str">
        <f>IF(E10="","",COUNTIF($E$2:$E$50,E10))</f>
        <v/>
      </c>
      <c r="O10" s="13" t="str">
        <f>IF(N10="","",IF(N10&gt;=6,"AT RISK",IF(N10&gt;=3,"WATCH","STABLE")))</f>
        <v/>
      </c>
    </row>
    <row r="11" spans="1:15" ht="15" customHeight="1">
      <c r="A11" s="9" t="str">
        <f>"NT-2026-"&amp;TEXT(ROW()-1,"0000")</f>
        <v>NT-2026-0010</v>
      </c>
      <c r="B11" s="10"/>
      <c r="C11" s="11"/>
      <c r="D11" s="11"/>
      <c r="E11" s="11"/>
      <c r="F11" s="14" t="str">
        <f>IF(E11="","",_xlfn.IFS(E11="Network/Connectivity","Critical",E11="Account &amp; Access","High",E11="Software","Medium",E11="Hardware","Medium",E11="Email","Medium",E11="Printer/Peripheral","Low",E11="Other","Medium"))</f>
        <v/>
      </c>
      <c r="G11" s="11"/>
      <c r="H11" s="14" t="str">
        <f>IF(E11="","",_xlfn.IFS(E11="Hardware","R. Botha",E11="Software","K. van Wyk",E11="Network/Connectivity","S. Naidoo",E11="Account &amp; Access","L. Dlamini",E11="Email","T. Mahlangu",E11="Printer/Peripheral","M. Khumalo",E11="Other","Unassigned"))</f>
        <v/>
      </c>
      <c r="I11" s="14" t="str">
        <f>IF(B11="","","Open")</f>
        <v/>
      </c>
      <c r="J11" s="9" t="str">
        <f>IF(F11="","",_xlfn.IFS(F11="Critical",2,F11="High",8,F11="Medium",24,F11="Low",48))</f>
        <v/>
      </c>
      <c r="K11" s="12" t="str">
        <f>IF(B11="","",B11+(J11/24))</f>
        <v/>
      </c>
      <c r="L11" s="10"/>
      <c r="M11" s="9" t="str">
        <f ca="1">IF(B11="","",IF(I11="Resolved",IF(L11&lt;=K11,"ON TIME","BREACHED"),IF(NOW()&gt;K11,"BREACHED",IF((K11-NOW())&lt;=(J11/24)*0.25,"AT RISK","ON TIME"))))</f>
        <v/>
      </c>
      <c r="N11" s="13" t="str">
        <f>IF(E11="","",COUNTIF($E$2:$E$50,E11))</f>
        <v/>
      </c>
      <c r="O11" s="13" t="str">
        <f>IF(N11="","",IF(N11&gt;=6,"AT RISK",IF(N11&gt;=3,"WATCH","STABLE")))</f>
        <v/>
      </c>
    </row>
    <row r="12" spans="1:15" ht="15" customHeight="1">
      <c r="A12" s="9" t="str">
        <f>"NT-2026-"&amp;TEXT(ROW()-1,"0000")</f>
        <v>NT-2026-0011</v>
      </c>
      <c r="B12" s="10"/>
      <c r="C12" s="11"/>
      <c r="D12" s="11"/>
      <c r="E12" s="11"/>
      <c r="F12" s="14" t="str">
        <f>IF(E12="","",_xlfn.IFS(E12="Network/Connectivity","Critical",E12="Account &amp; Access","High",E12="Software","Medium",E12="Hardware","Medium",E12="Email","Medium",E12="Printer/Peripheral","Low",E12="Other","Medium"))</f>
        <v/>
      </c>
      <c r="G12" s="11"/>
      <c r="H12" s="14" t="str">
        <f>IF(E12="","",_xlfn.IFS(E12="Hardware","R. Botha",E12="Software","K. van Wyk",E12="Network/Connectivity","S. Naidoo",E12="Account &amp; Access","L. Dlamini",E12="Email","T. Mahlangu",E12="Printer/Peripheral","M. Khumalo",E12="Other","Unassigned"))</f>
        <v/>
      </c>
      <c r="I12" s="14" t="str">
        <f>IF(B12="","","Open")</f>
        <v/>
      </c>
      <c r="J12" s="9" t="str">
        <f>IF(F12="","",_xlfn.IFS(F12="Critical",2,F12="High",8,F12="Medium",24,F12="Low",48))</f>
        <v/>
      </c>
      <c r="K12" s="12" t="str">
        <f>IF(B12="","",B12+(J12/24))</f>
        <v/>
      </c>
      <c r="L12" s="10"/>
      <c r="M12" s="9" t="str">
        <f ca="1">IF(B12="","",IF(I12="Resolved",IF(L12&lt;=K12,"ON TIME","BREACHED"),IF(NOW()&gt;K12,"BREACHED",IF((K12-NOW())&lt;=(J12/24)*0.25,"AT RISK","ON TIME"))))</f>
        <v/>
      </c>
      <c r="N12" s="13" t="str">
        <f>IF(E12="","",COUNTIF($E$2:$E$50,E12))</f>
        <v/>
      </c>
      <c r="O12" s="13" t="str">
        <f>IF(N12="","",IF(N12&gt;=6,"AT RISK",IF(N12&gt;=3,"WATCH","STABLE")))</f>
        <v/>
      </c>
    </row>
    <row r="13" spans="1:15" ht="15" customHeight="1">
      <c r="A13" s="9" t="str">
        <f>"NT-2026-"&amp;TEXT(ROW()-1,"0000")</f>
        <v>NT-2026-0012</v>
      </c>
      <c r="B13" s="10"/>
      <c r="C13" s="11"/>
      <c r="D13" s="11"/>
      <c r="E13" s="11"/>
      <c r="F13" s="14" t="str">
        <f>IF(E13="","",_xlfn.IFS(E13="Network/Connectivity","Critical",E13="Account &amp; Access","High",E13="Software","Medium",E13="Hardware","Medium",E13="Email","Medium",E13="Printer/Peripheral","Low",E13="Other","Medium"))</f>
        <v/>
      </c>
      <c r="G13" s="11"/>
      <c r="H13" s="14" t="str">
        <f>IF(E13="","",_xlfn.IFS(E13="Hardware","R. Botha",E13="Software","K. van Wyk",E13="Network/Connectivity","S. Naidoo",E13="Account &amp; Access","L. Dlamini",E13="Email","T. Mahlangu",E13="Printer/Peripheral","M. Khumalo",E13="Other","Unassigned"))</f>
        <v/>
      </c>
      <c r="I13" s="14" t="str">
        <f>IF(B13="","","Open")</f>
        <v/>
      </c>
      <c r="J13" s="9" t="str">
        <f>IF(F13="","",_xlfn.IFS(F13="Critical",2,F13="High",8,F13="Medium",24,F13="Low",48))</f>
        <v/>
      </c>
      <c r="K13" s="12" t="str">
        <f>IF(B13="","",B13+(J13/24))</f>
        <v/>
      </c>
      <c r="L13" s="10"/>
      <c r="M13" s="9" t="str">
        <f ca="1">IF(B13="","",IF(I13="Resolved",IF(L13&lt;=K13,"ON TIME","BREACHED"),IF(NOW()&gt;K13,"BREACHED",IF((K13-NOW())&lt;=(J13/24)*0.25,"AT RISK","ON TIME"))))</f>
        <v/>
      </c>
      <c r="N13" s="13" t="str">
        <f>IF(E13="","",COUNTIF($E$2:$E$50,E13))</f>
        <v/>
      </c>
      <c r="O13" s="13" t="str">
        <f>IF(N13="","",IF(N13&gt;=6,"AT RISK",IF(N13&gt;=3,"WATCH","STABLE")))</f>
        <v/>
      </c>
    </row>
    <row r="14" spans="1:15" ht="15" customHeight="1">
      <c r="A14" s="9" t="str">
        <f>"NT-2026-"&amp;TEXT(ROW()-1,"0000")</f>
        <v>NT-2026-0013</v>
      </c>
      <c r="B14" s="10"/>
      <c r="C14" s="11"/>
      <c r="D14" s="11"/>
      <c r="E14" s="11"/>
      <c r="F14" s="14" t="str">
        <f>IF(E14="","",_xlfn.IFS(E14="Network/Connectivity","Critical",E14="Account &amp; Access","High",E14="Software","Medium",E14="Hardware","Medium",E14="Email","Medium",E14="Printer/Peripheral","Low",E14="Other","Medium"))</f>
        <v/>
      </c>
      <c r="G14" s="11"/>
      <c r="H14" s="14" t="str">
        <f>IF(E14="","",_xlfn.IFS(E14="Hardware","R. Botha",E14="Software","K. van Wyk",E14="Network/Connectivity","S. Naidoo",E14="Account &amp; Access","L. Dlamini",E14="Email","T. Mahlangu",E14="Printer/Peripheral","M. Khumalo",E14="Other","Unassigned"))</f>
        <v/>
      </c>
      <c r="I14" s="14" t="str">
        <f>IF(B14="","","Open")</f>
        <v/>
      </c>
      <c r="J14" s="9" t="str">
        <f>IF(F14="","",_xlfn.IFS(F14="Critical",2,F14="High",8,F14="Medium",24,F14="Low",48))</f>
        <v/>
      </c>
      <c r="K14" s="12" t="str">
        <f>IF(B14="","",B14+(J14/24))</f>
        <v/>
      </c>
      <c r="L14" s="10"/>
      <c r="M14" s="9" t="str">
        <f ca="1">IF(B14="","",IF(I14="Resolved",IF(L14&lt;=K14,"ON TIME","BREACHED"),IF(NOW()&gt;K14,"BREACHED",IF((K14-NOW())&lt;=(J14/24)*0.25,"AT RISK","ON TIME"))))</f>
        <v/>
      </c>
      <c r="N14" s="13" t="str">
        <f>IF(E14="","",COUNTIF($E$2:$E$50,E14))</f>
        <v/>
      </c>
      <c r="O14" s="13" t="str">
        <f>IF(N14="","",IF(N14&gt;=6,"AT RISK",IF(N14&gt;=3,"WATCH","STABLE")))</f>
        <v/>
      </c>
    </row>
    <row r="15" spans="1:15" ht="15" customHeight="1">
      <c r="A15" s="9" t="str">
        <f>"NT-2026-"&amp;TEXT(ROW()-1,"0000")</f>
        <v>NT-2026-0014</v>
      </c>
      <c r="B15" s="10"/>
      <c r="C15" s="11"/>
      <c r="D15" s="11"/>
      <c r="E15" s="11"/>
      <c r="F15" s="14" t="str">
        <f>IF(E15="","",_xlfn.IFS(E15="Network/Connectivity","Critical",E15="Account &amp; Access","High",E15="Software","Medium",E15="Hardware","Medium",E15="Email","Medium",E15="Printer/Peripheral","Low",E15="Other","Medium"))</f>
        <v/>
      </c>
      <c r="G15" s="11"/>
      <c r="H15" s="14" t="str">
        <f>IF(E15="","",_xlfn.IFS(E15="Hardware","R. Botha",E15="Software","K. van Wyk",E15="Network/Connectivity","S. Naidoo",E15="Account &amp; Access","L. Dlamini",E15="Email","T. Mahlangu",E15="Printer/Peripheral","M. Khumalo",E15="Other","Unassigned"))</f>
        <v/>
      </c>
      <c r="I15" s="14" t="str">
        <f>IF(B15="","","Open")</f>
        <v/>
      </c>
      <c r="J15" s="9" t="str">
        <f>IF(F15="","",_xlfn.IFS(F15="Critical",2,F15="High",8,F15="Medium",24,F15="Low",48))</f>
        <v/>
      </c>
      <c r="K15" s="12" t="str">
        <f>IF(B15="","",B15+(J15/24))</f>
        <v/>
      </c>
      <c r="L15" s="10"/>
      <c r="M15" s="9" t="str">
        <f ca="1">IF(B15="","",IF(I15="Resolved",IF(L15&lt;=K15,"ON TIME","BREACHED"),IF(NOW()&gt;K15,"BREACHED",IF((K15-NOW())&lt;=(J15/24)*0.25,"AT RISK","ON TIME"))))</f>
        <v/>
      </c>
      <c r="N15" s="13" t="str">
        <f>IF(E15="","",COUNTIF($E$2:$E$50,E15))</f>
        <v/>
      </c>
      <c r="O15" s="13" t="str">
        <f>IF(N15="","",IF(N15&gt;=6,"AT RISK",IF(N15&gt;=3,"WATCH","STABLE")))</f>
        <v/>
      </c>
    </row>
    <row r="16" spans="1:15" ht="15" customHeight="1">
      <c r="A16" s="9" t="str">
        <f>"NT-2026-"&amp;TEXT(ROW()-1,"0000")</f>
        <v>NT-2026-0015</v>
      </c>
      <c r="B16" s="10"/>
      <c r="C16" s="11"/>
      <c r="D16" s="11"/>
      <c r="E16" s="11"/>
      <c r="F16" s="14" t="str">
        <f>IF(E16="","",_xlfn.IFS(E16="Network/Connectivity","Critical",E16="Account &amp; Access","High",E16="Software","Medium",E16="Hardware","Medium",E16="Email","Medium",E16="Printer/Peripheral","Low",E16="Other","Medium"))</f>
        <v/>
      </c>
      <c r="G16" s="11"/>
      <c r="H16" s="14" t="str">
        <f>IF(E16="","",_xlfn.IFS(E16="Hardware","R. Botha",E16="Software","K. van Wyk",E16="Network/Connectivity","S. Naidoo",E16="Account &amp; Access","L. Dlamini",E16="Email","T. Mahlangu",E16="Printer/Peripheral","M. Khumalo",E16="Other","Unassigned"))</f>
        <v/>
      </c>
      <c r="I16" s="14" t="str">
        <f>IF(B16="","","Open")</f>
        <v/>
      </c>
      <c r="J16" s="9" t="str">
        <f>IF(F16="","",_xlfn.IFS(F16="Critical",2,F16="High",8,F16="Medium",24,F16="Low",48))</f>
        <v/>
      </c>
      <c r="K16" s="12" t="str">
        <f>IF(B16="","",B16+(J16/24))</f>
        <v/>
      </c>
      <c r="L16" s="10"/>
      <c r="M16" s="9" t="str">
        <f ca="1">IF(B16="","",IF(I16="Resolved",IF(L16&lt;=K16,"ON TIME","BREACHED"),IF(NOW()&gt;K16,"BREACHED",IF((K16-NOW())&lt;=(J16/24)*0.25,"AT RISK","ON TIME"))))</f>
        <v/>
      </c>
      <c r="N16" s="13" t="str">
        <f>IF(E16="","",COUNTIF($E$2:$E$50,E16))</f>
        <v/>
      </c>
      <c r="O16" s="13" t="str">
        <f>IF(N16="","",IF(N16&gt;=6,"AT RISK",IF(N16&gt;=3,"WATCH","STABLE")))</f>
        <v/>
      </c>
    </row>
    <row r="17" spans="1:15" ht="15" customHeight="1">
      <c r="A17" s="9" t="str">
        <f>"NT-2026-"&amp;TEXT(ROW()-1,"0000")</f>
        <v>NT-2026-0016</v>
      </c>
      <c r="B17" s="10"/>
      <c r="C17" s="11"/>
      <c r="D17" s="11"/>
      <c r="E17" s="11"/>
      <c r="F17" s="14" t="str">
        <f>IF(E17="","",_xlfn.IFS(E17="Network/Connectivity","Critical",E17="Account &amp; Access","High",E17="Software","Medium",E17="Hardware","Medium",E17="Email","Medium",E17="Printer/Peripheral","Low",E17="Other","Medium"))</f>
        <v/>
      </c>
      <c r="G17" s="11"/>
      <c r="H17" s="14" t="str">
        <f>IF(E17="","",_xlfn.IFS(E17="Hardware","R. Botha",E17="Software","K. van Wyk",E17="Network/Connectivity","S. Naidoo",E17="Account &amp; Access","L. Dlamini",E17="Email","T. Mahlangu",E17="Printer/Peripheral","M. Khumalo",E17="Other","Unassigned"))</f>
        <v/>
      </c>
      <c r="I17" s="14" t="str">
        <f>IF(B17="","","Open")</f>
        <v/>
      </c>
      <c r="J17" s="9" t="str">
        <f>IF(F17="","",_xlfn.IFS(F17="Critical",2,F17="High",8,F17="Medium",24,F17="Low",48))</f>
        <v/>
      </c>
      <c r="K17" s="12" t="str">
        <f>IF(B17="","",B17+(J17/24))</f>
        <v/>
      </c>
      <c r="L17" s="10"/>
      <c r="M17" s="9" t="str">
        <f ca="1">IF(B17="","",IF(I17="Resolved",IF(L17&lt;=K17,"ON TIME","BREACHED"),IF(NOW()&gt;K17,"BREACHED",IF((K17-NOW())&lt;=(J17/24)*0.25,"AT RISK","ON TIME"))))</f>
        <v/>
      </c>
      <c r="N17" s="13" t="str">
        <f>IF(E17="","",COUNTIF($E$2:$E$50,E17))</f>
        <v/>
      </c>
      <c r="O17" s="13" t="str">
        <f>IF(N17="","",IF(N17&gt;=6,"AT RISK",IF(N17&gt;=3,"WATCH","STABLE")))</f>
        <v/>
      </c>
    </row>
    <row r="18" spans="1:15" ht="15" customHeight="1">
      <c r="A18" s="9" t="str">
        <f>"NT-2026-"&amp;TEXT(ROW()-1,"0000")</f>
        <v>NT-2026-0017</v>
      </c>
      <c r="B18" s="10"/>
      <c r="C18" s="11"/>
      <c r="D18" s="11"/>
      <c r="E18" s="11"/>
      <c r="F18" s="14" t="str">
        <f>IF(E18="","",_xlfn.IFS(E18="Network/Connectivity","Critical",E18="Account &amp; Access","High",E18="Software","Medium",E18="Hardware","Medium",E18="Email","Medium",E18="Printer/Peripheral","Low",E18="Other","Medium"))</f>
        <v/>
      </c>
      <c r="G18" s="11"/>
      <c r="H18" s="14" t="str">
        <f>IF(E18="","",_xlfn.IFS(E18="Hardware","R. Botha",E18="Software","K. van Wyk",E18="Network/Connectivity","S. Naidoo",E18="Account &amp; Access","L. Dlamini",E18="Email","T. Mahlangu",E18="Printer/Peripheral","M. Khumalo",E18="Other","Unassigned"))</f>
        <v/>
      </c>
      <c r="I18" s="14" t="str">
        <f>IF(B18="","","Open")</f>
        <v/>
      </c>
      <c r="J18" s="9" t="str">
        <f>IF(F18="","",_xlfn.IFS(F18="Critical",2,F18="High",8,F18="Medium",24,F18="Low",48))</f>
        <v/>
      </c>
      <c r="K18" s="12" t="str">
        <f>IF(B18="","",B18+(J18/24))</f>
        <v/>
      </c>
      <c r="L18" s="10"/>
      <c r="M18" s="9" t="str">
        <f ca="1">IF(B18="","",IF(I18="Resolved",IF(L18&lt;=K18,"ON TIME","BREACHED"),IF(NOW()&gt;K18,"BREACHED",IF((K18-NOW())&lt;=(J18/24)*0.25,"AT RISK","ON TIME"))))</f>
        <v/>
      </c>
      <c r="N18" s="13" t="str">
        <f>IF(E18="","",COUNTIF($E$2:$E$50,E18))</f>
        <v/>
      </c>
      <c r="O18" s="13" t="str">
        <f>IF(N18="","",IF(N18&gt;=6,"AT RISK",IF(N18&gt;=3,"WATCH","STABLE")))</f>
        <v/>
      </c>
    </row>
    <row r="19" spans="1:15" ht="15" customHeight="1">
      <c r="A19" s="9" t="str">
        <f>"NT-2026-"&amp;TEXT(ROW()-1,"0000")</f>
        <v>NT-2026-0018</v>
      </c>
      <c r="B19" s="10"/>
      <c r="C19" s="11"/>
      <c r="D19" s="11"/>
      <c r="E19" s="11"/>
      <c r="F19" s="14" t="str">
        <f>IF(E19="","",_xlfn.IFS(E19="Network/Connectivity","Critical",E19="Account &amp; Access","High",E19="Software","Medium",E19="Hardware","Medium",E19="Email","Medium",E19="Printer/Peripheral","Low",E19="Other","Medium"))</f>
        <v/>
      </c>
      <c r="G19" s="11"/>
      <c r="H19" s="14" t="str">
        <f>IF(E19="","",_xlfn.IFS(E19="Hardware","R. Botha",E19="Software","K. van Wyk",E19="Network/Connectivity","S. Naidoo",E19="Account &amp; Access","L. Dlamini",E19="Email","T. Mahlangu",E19="Printer/Peripheral","M. Khumalo",E19="Other","Unassigned"))</f>
        <v/>
      </c>
      <c r="I19" s="14" t="str">
        <f>IF(B19="","","Open")</f>
        <v/>
      </c>
      <c r="J19" s="9" t="str">
        <f>IF(F19="","",_xlfn.IFS(F19="Critical",2,F19="High",8,F19="Medium",24,F19="Low",48))</f>
        <v/>
      </c>
      <c r="K19" s="12" t="str">
        <f>IF(B19="","",B19+(J19/24))</f>
        <v/>
      </c>
      <c r="L19" s="10"/>
      <c r="M19" s="9" t="str">
        <f ca="1">IF(B19="","",IF(I19="Resolved",IF(L19&lt;=K19,"ON TIME","BREACHED"),IF(NOW()&gt;K19,"BREACHED",IF((K19-NOW())&lt;=(J19/24)*0.25,"AT RISK","ON TIME"))))</f>
        <v/>
      </c>
      <c r="N19" s="13" t="str">
        <f>IF(E19="","",COUNTIF($E$2:$E$50,E19))</f>
        <v/>
      </c>
      <c r="O19" s="13" t="str">
        <f>IF(N19="","",IF(N19&gt;=6,"AT RISK",IF(N19&gt;=3,"WATCH","STABLE")))</f>
        <v/>
      </c>
    </row>
    <row r="20" spans="1:15" ht="15" customHeight="1">
      <c r="A20" s="9" t="str">
        <f>"NT-2026-"&amp;TEXT(ROW()-1,"0000")</f>
        <v>NT-2026-0019</v>
      </c>
      <c r="B20" s="10"/>
      <c r="C20" s="11"/>
      <c r="D20" s="11"/>
      <c r="E20" s="11"/>
      <c r="F20" s="14" t="str">
        <f>IF(E20="","",_xlfn.IFS(E20="Network/Connectivity","Critical",E20="Account &amp; Access","High",E20="Software","Medium",E20="Hardware","Medium",E20="Email","Medium",E20="Printer/Peripheral","Low",E20="Other","Medium"))</f>
        <v/>
      </c>
      <c r="G20" s="11"/>
      <c r="H20" s="14" t="str">
        <f>IF(E20="","",_xlfn.IFS(E20="Hardware","R. Botha",E20="Software","K. van Wyk",E20="Network/Connectivity","S. Naidoo",E20="Account &amp; Access","L. Dlamini",E20="Email","T. Mahlangu",E20="Printer/Peripheral","M. Khumalo",E20="Other","Unassigned"))</f>
        <v/>
      </c>
      <c r="I20" s="14" t="str">
        <f>IF(B20="","","Open")</f>
        <v/>
      </c>
      <c r="J20" s="9" t="str">
        <f>IF(F20="","",_xlfn.IFS(F20="Critical",2,F20="High",8,F20="Medium",24,F20="Low",48))</f>
        <v/>
      </c>
      <c r="K20" s="12" t="str">
        <f>IF(B20="","",B20+(J20/24))</f>
        <v/>
      </c>
      <c r="L20" s="10"/>
      <c r="M20" s="9" t="str">
        <f ca="1">IF(B20="","",IF(I20="Resolved",IF(L20&lt;=K20,"ON TIME","BREACHED"),IF(NOW()&gt;K20,"BREACHED",IF((K20-NOW())&lt;=(J20/24)*0.25,"AT RISK","ON TIME"))))</f>
        <v/>
      </c>
      <c r="N20" s="13" t="str">
        <f>IF(E20="","",COUNTIF($E$2:$E$50,E20))</f>
        <v/>
      </c>
      <c r="O20" s="13" t="str">
        <f>IF(N20="","",IF(N20&gt;=6,"AT RISK",IF(N20&gt;=3,"WATCH","STABLE")))</f>
        <v/>
      </c>
    </row>
    <row r="21" spans="1:15" ht="15" customHeight="1">
      <c r="A21" s="9" t="str">
        <f>"NT-2026-"&amp;TEXT(ROW()-1,"0000")</f>
        <v>NT-2026-0020</v>
      </c>
      <c r="B21" s="10"/>
      <c r="C21" s="11"/>
      <c r="D21" s="11"/>
      <c r="E21" s="11"/>
      <c r="F21" s="14" t="str">
        <f>IF(E21="","",_xlfn.IFS(E21="Network/Connectivity","Critical",E21="Account &amp; Access","High",E21="Software","Medium",E21="Hardware","Medium",E21="Email","Medium",E21="Printer/Peripheral","Low",E21="Other","Medium"))</f>
        <v/>
      </c>
      <c r="G21" s="11"/>
      <c r="H21" s="14" t="str">
        <f>IF(E21="","",_xlfn.IFS(E21="Hardware","R. Botha",E21="Software","K. van Wyk",E21="Network/Connectivity","S. Naidoo",E21="Account &amp; Access","L. Dlamini",E21="Email","T. Mahlangu",E21="Printer/Peripheral","M. Khumalo",E21="Other","Unassigned"))</f>
        <v/>
      </c>
      <c r="I21" s="14" t="str">
        <f>IF(B21="","","Open")</f>
        <v/>
      </c>
      <c r="J21" s="9" t="str">
        <f>IF(F21="","",_xlfn.IFS(F21="Critical",2,F21="High",8,F21="Medium",24,F21="Low",48))</f>
        <v/>
      </c>
      <c r="K21" s="12" t="str">
        <f>IF(B21="","",B21+(J21/24))</f>
        <v/>
      </c>
      <c r="L21" s="10"/>
      <c r="M21" s="9" t="str">
        <f ca="1">IF(B21="","",IF(I21="Resolved",IF(L21&lt;=K21,"ON TIME","BREACHED"),IF(NOW()&gt;K21,"BREACHED",IF((K21-NOW())&lt;=(J21/24)*0.25,"AT RISK","ON TIME"))))</f>
        <v/>
      </c>
      <c r="N21" s="13" t="str">
        <f>IF(E21="","",COUNTIF($E$2:$E$50,E21))</f>
        <v/>
      </c>
      <c r="O21" s="13" t="str">
        <f>IF(N21="","",IF(N21&gt;=6,"AT RISK",IF(N21&gt;=3,"WATCH","STABLE")))</f>
        <v/>
      </c>
    </row>
    <row r="22" spans="1:15" ht="15" customHeight="1">
      <c r="A22" s="9" t="str">
        <f>"NT-2026-"&amp;TEXT(ROW()-1,"0000")</f>
        <v>NT-2026-0021</v>
      </c>
      <c r="B22" s="10"/>
      <c r="C22" s="11"/>
      <c r="D22" s="11"/>
      <c r="E22" s="11"/>
      <c r="F22" s="14" t="str">
        <f>IF(E22="","",_xlfn.IFS(E22="Network/Connectivity","Critical",E22="Account &amp; Access","High",E22="Software","Medium",E22="Hardware","Medium",E22="Email","Medium",E22="Printer/Peripheral","Low",E22="Other","Medium"))</f>
        <v/>
      </c>
      <c r="G22" s="11"/>
      <c r="H22" s="14" t="str">
        <f>IF(E22="","",_xlfn.IFS(E22="Hardware","R. Botha",E22="Software","K. van Wyk",E22="Network/Connectivity","S. Naidoo",E22="Account &amp; Access","L. Dlamini",E22="Email","T. Mahlangu",E22="Printer/Peripheral","M. Khumalo",E22="Other","Unassigned"))</f>
        <v/>
      </c>
      <c r="I22" s="14" t="str">
        <f>IF(B22="","","Open")</f>
        <v/>
      </c>
      <c r="J22" s="9" t="str">
        <f>IF(F22="","",_xlfn.IFS(F22="Critical",2,F22="High",8,F22="Medium",24,F22="Low",48))</f>
        <v/>
      </c>
      <c r="K22" s="12" t="str">
        <f>IF(B22="","",B22+(J22/24))</f>
        <v/>
      </c>
      <c r="L22" s="10"/>
      <c r="M22" s="9" t="str">
        <f ca="1">IF(B22="","",IF(I22="Resolved",IF(L22&lt;=K22,"ON TIME","BREACHED"),IF(NOW()&gt;K22,"BREACHED",IF((K22-NOW())&lt;=(J22/24)*0.25,"AT RISK","ON TIME"))))</f>
        <v/>
      </c>
      <c r="N22" s="13" t="str">
        <f>IF(E22="","",COUNTIF($E$2:$E$50,E22))</f>
        <v/>
      </c>
      <c r="O22" s="13" t="str">
        <f>IF(N22="","",IF(N22&gt;=6,"AT RISK",IF(N22&gt;=3,"WATCH","STABLE")))</f>
        <v/>
      </c>
    </row>
    <row r="23" spans="1:15" ht="15" customHeight="1">
      <c r="A23" s="9" t="str">
        <f>"NT-2026-"&amp;TEXT(ROW()-1,"0000")</f>
        <v>NT-2026-0022</v>
      </c>
      <c r="B23" s="10"/>
      <c r="C23" s="11"/>
      <c r="D23" s="11"/>
      <c r="E23" s="11"/>
      <c r="F23" s="14" t="str">
        <f>IF(E23="","",_xlfn.IFS(E23="Network/Connectivity","Critical",E23="Account &amp; Access","High",E23="Software","Medium",E23="Hardware","Medium",E23="Email","Medium",E23="Printer/Peripheral","Low",E23="Other","Medium"))</f>
        <v/>
      </c>
      <c r="G23" s="11"/>
      <c r="H23" s="14" t="str">
        <f>IF(E23="","",_xlfn.IFS(E23="Hardware","R. Botha",E23="Software","K. van Wyk",E23="Network/Connectivity","S. Naidoo",E23="Account &amp; Access","L. Dlamini",E23="Email","T. Mahlangu",E23="Printer/Peripheral","M. Khumalo",E23="Other","Unassigned"))</f>
        <v/>
      </c>
      <c r="I23" s="14" t="str">
        <f>IF(B23="","","Open")</f>
        <v/>
      </c>
      <c r="J23" s="9" t="str">
        <f>IF(F23="","",_xlfn.IFS(F23="Critical",2,F23="High",8,F23="Medium",24,F23="Low",48))</f>
        <v/>
      </c>
      <c r="K23" s="12" t="str">
        <f>IF(B23="","",B23+(J23/24))</f>
        <v/>
      </c>
      <c r="L23" s="10"/>
      <c r="M23" s="9" t="str">
        <f ca="1">IF(B23="","",IF(I23="Resolved",IF(L23&lt;=K23,"ON TIME","BREACHED"),IF(NOW()&gt;K23,"BREACHED",IF((K23-NOW())&lt;=(J23/24)*0.25,"AT RISK","ON TIME"))))</f>
        <v/>
      </c>
      <c r="N23" s="13" t="str">
        <f>IF(E23="","",COUNTIF($E$2:$E$50,E23))</f>
        <v/>
      </c>
      <c r="O23" s="13" t="str">
        <f>IF(N23="","",IF(N23&gt;=6,"AT RISK",IF(N23&gt;=3,"WATCH","STABLE")))</f>
        <v/>
      </c>
    </row>
    <row r="24" spans="1:15" ht="15" customHeight="1">
      <c r="A24" s="9" t="str">
        <f>"NT-2026-"&amp;TEXT(ROW()-1,"0000")</f>
        <v>NT-2026-0023</v>
      </c>
      <c r="B24" s="10"/>
      <c r="C24" s="11"/>
      <c r="D24" s="11"/>
      <c r="E24" s="11"/>
      <c r="F24" s="14" t="str">
        <f>IF(E24="","",_xlfn.IFS(E24="Network/Connectivity","Critical",E24="Account &amp; Access","High",E24="Software","Medium",E24="Hardware","Medium",E24="Email","Medium",E24="Printer/Peripheral","Low",E24="Other","Medium"))</f>
        <v/>
      </c>
      <c r="G24" s="11"/>
      <c r="H24" s="14" t="str">
        <f>IF(E24="","",_xlfn.IFS(E24="Hardware","R. Botha",E24="Software","K. van Wyk",E24="Network/Connectivity","S. Naidoo",E24="Account &amp; Access","L. Dlamini",E24="Email","T. Mahlangu",E24="Printer/Peripheral","M. Khumalo",E24="Other","Unassigned"))</f>
        <v/>
      </c>
      <c r="I24" s="14" t="str">
        <f>IF(B24="","","Open")</f>
        <v/>
      </c>
      <c r="J24" s="9" t="str">
        <f>IF(F24="","",_xlfn.IFS(F24="Critical",2,F24="High",8,F24="Medium",24,F24="Low",48))</f>
        <v/>
      </c>
      <c r="K24" s="12" t="str">
        <f>IF(B24="","",B24+(J24/24))</f>
        <v/>
      </c>
      <c r="L24" s="10"/>
      <c r="M24" s="9" t="str">
        <f ca="1">IF(B24="","",IF(I24="Resolved",IF(L24&lt;=K24,"ON TIME","BREACHED"),IF(NOW()&gt;K24,"BREACHED",IF((K24-NOW())&lt;=(J24/24)*0.25,"AT RISK","ON TIME"))))</f>
        <v/>
      </c>
      <c r="N24" s="13" t="str">
        <f>IF(E24="","",COUNTIF($E$2:$E$50,E24))</f>
        <v/>
      </c>
      <c r="O24" s="13" t="str">
        <f>IF(N24="","",IF(N24&gt;=6,"AT RISK",IF(N24&gt;=3,"WATCH","STABLE")))</f>
        <v/>
      </c>
    </row>
    <row r="25" spans="1:15" ht="15" customHeight="1">
      <c r="A25" s="9" t="str">
        <f>"NT-2026-"&amp;TEXT(ROW()-1,"0000")</f>
        <v>NT-2026-0024</v>
      </c>
      <c r="B25" s="10"/>
      <c r="C25" s="11"/>
      <c r="D25" s="11"/>
      <c r="E25" s="11"/>
      <c r="F25" s="14" t="str">
        <f>IF(E25="","",_xlfn.IFS(E25="Network/Connectivity","Critical",E25="Account &amp; Access","High",E25="Software","Medium",E25="Hardware","Medium",E25="Email","Medium",E25="Printer/Peripheral","Low",E25="Other","Medium"))</f>
        <v/>
      </c>
      <c r="G25" s="11"/>
      <c r="H25" s="14" t="str">
        <f>IF(E25="","",_xlfn.IFS(E25="Hardware","R. Botha",E25="Software","K. van Wyk",E25="Network/Connectivity","S. Naidoo",E25="Account &amp; Access","L. Dlamini",E25="Email","T. Mahlangu",E25="Printer/Peripheral","M. Khumalo",E25="Other","Unassigned"))</f>
        <v/>
      </c>
      <c r="I25" s="14" t="str">
        <f>IF(B25="","","Open")</f>
        <v/>
      </c>
      <c r="J25" s="9" t="str">
        <f>IF(F25="","",_xlfn.IFS(F25="Critical",2,F25="High",8,F25="Medium",24,F25="Low",48))</f>
        <v/>
      </c>
      <c r="K25" s="12" t="str">
        <f>IF(B25="","",B25+(J25/24))</f>
        <v/>
      </c>
      <c r="L25" s="10"/>
      <c r="M25" s="9" t="str">
        <f ca="1">IF(B25="","",IF(I25="Resolved",IF(L25&lt;=K25,"ON TIME","BREACHED"),IF(NOW()&gt;K25,"BREACHED",IF((K25-NOW())&lt;=(J25/24)*0.25,"AT RISK","ON TIME"))))</f>
        <v/>
      </c>
      <c r="N25" s="13" t="str">
        <f>IF(E25="","",COUNTIF($E$2:$E$50,E25))</f>
        <v/>
      </c>
      <c r="O25" s="13" t="str">
        <f>IF(N25="","",IF(N25&gt;=6,"AT RISK",IF(N25&gt;=3,"WATCH","STABLE")))</f>
        <v/>
      </c>
    </row>
    <row r="26" spans="1:15" ht="15" customHeight="1">
      <c r="A26" s="9" t="str">
        <f>"NT-2026-"&amp;TEXT(ROW()-1,"0000")</f>
        <v>NT-2026-0025</v>
      </c>
      <c r="B26" s="10"/>
      <c r="C26" s="11"/>
      <c r="D26" s="11"/>
      <c r="E26" s="11"/>
      <c r="F26" s="14" t="str">
        <f>IF(E26="","",_xlfn.IFS(E26="Network/Connectivity","Critical",E26="Account &amp; Access","High",E26="Software","Medium",E26="Hardware","Medium",E26="Email","Medium",E26="Printer/Peripheral","Low",E26="Other","Medium"))</f>
        <v/>
      </c>
      <c r="G26" s="11"/>
      <c r="H26" s="14" t="str">
        <f>IF(E26="","",_xlfn.IFS(E26="Hardware","R. Botha",E26="Software","K. van Wyk",E26="Network/Connectivity","S. Naidoo",E26="Account &amp; Access","L. Dlamini",E26="Email","T. Mahlangu",E26="Printer/Peripheral","M. Khumalo",E26="Other","Unassigned"))</f>
        <v/>
      </c>
      <c r="I26" s="14" t="str">
        <f>IF(B26="","","Open")</f>
        <v/>
      </c>
      <c r="J26" s="9" t="str">
        <f>IF(F26="","",_xlfn.IFS(F26="Critical",2,F26="High",8,F26="Medium",24,F26="Low",48))</f>
        <v/>
      </c>
      <c r="K26" s="12" t="str">
        <f>IF(B26="","",B26+(J26/24))</f>
        <v/>
      </c>
      <c r="L26" s="10"/>
      <c r="M26" s="9" t="str">
        <f ca="1">IF(B26="","",IF(I26="Resolved",IF(L26&lt;=K26,"ON TIME","BREACHED"),IF(NOW()&gt;K26,"BREACHED",IF((K26-NOW())&lt;=(J26/24)*0.25,"AT RISK","ON TIME"))))</f>
        <v/>
      </c>
      <c r="N26" s="13" t="str">
        <f>IF(E26="","",COUNTIF($E$2:$E$50,E26))</f>
        <v/>
      </c>
      <c r="O26" s="13" t="str">
        <f>IF(N26="","",IF(N26&gt;=6,"AT RISK",IF(N26&gt;=3,"WATCH","STABLE")))</f>
        <v/>
      </c>
    </row>
    <row r="27" spans="1:15" ht="15" customHeight="1">
      <c r="A27" s="9" t="str">
        <f>"NT-2026-"&amp;TEXT(ROW()-1,"0000")</f>
        <v>NT-2026-0026</v>
      </c>
      <c r="B27" s="10"/>
      <c r="C27" s="11"/>
      <c r="D27" s="11"/>
      <c r="E27" s="11"/>
      <c r="F27" s="14" t="str">
        <f>IF(E27="","",_xlfn.IFS(E27="Network/Connectivity","Critical",E27="Account &amp; Access","High",E27="Software","Medium",E27="Hardware","Medium",E27="Email","Medium",E27="Printer/Peripheral","Low",E27="Other","Medium"))</f>
        <v/>
      </c>
      <c r="G27" s="11"/>
      <c r="H27" s="14" t="str">
        <f>IF(E27="","",_xlfn.IFS(E27="Hardware","R. Botha",E27="Software","K. van Wyk",E27="Network/Connectivity","S. Naidoo",E27="Account &amp; Access","L. Dlamini",E27="Email","T. Mahlangu",E27="Printer/Peripheral","M. Khumalo",E27="Other","Unassigned"))</f>
        <v/>
      </c>
      <c r="I27" s="14" t="str">
        <f>IF(B27="","","Open")</f>
        <v/>
      </c>
      <c r="J27" s="9" t="str">
        <f>IF(F27="","",_xlfn.IFS(F27="Critical",2,F27="High",8,F27="Medium",24,F27="Low",48))</f>
        <v/>
      </c>
      <c r="K27" s="12" t="str">
        <f>IF(B27="","",B27+(J27/24))</f>
        <v/>
      </c>
      <c r="L27" s="10"/>
      <c r="M27" s="9" t="str">
        <f ca="1">IF(B27="","",IF(I27="Resolved",IF(L27&lt;=K27,"ON TIME","BREACHED"),IF(NOW()&gt;K27,"BREACHED",IF((K27-NOW())&lt;=(J27/24)*0.25,"AT RISK","ON TIME"))))</f>
        <v/>
      </c>
      <c r="N27" s="13" t="str">
        <f>IF(E27="","",COUNTIF($E$2:$E$50,E27))</f>
        <v/>
      </c>
      <c r="O27" s="13" t="str">
        <f>IF(N27="","",IF(N27&gt;=6,"AT RISK",IF(N27&gt;=3,"WATCH","STABLE")))</f>
        <v/>
      </c>
    </row>
    <row r="28" spans="1:15" ht="15" customHeight="1">
      <c r="A28" s="9" t="str">
        <f>"NT-2026-"&amp;TEXT(ROW()-1,"0000")</f>
        <v>NT-2026-0027</v>
      </c>
      <c r="B28" s="10"/>
      <c r="C28" s="11"/>
      <c r="D28" s="11"/>
      <c r="E28" s="11"/>
      <c r="F28" s="14" t="str">
        <f>IF(E28="","",_xlfn.IFS(E28="Network/Connectivity","Critical",E28="Account &amp; Access","High",E28="Software","Medium",E28="Hardware","Medium",E28="Email","Medium",E28="Printer/Peripheral","Low",E28="Other","Medium"))</f>
        <v/>
      </c>
      <c r="G28" s="11"/>
      <c r="H28" s="14" t="str">
        <f>IF(E28="","",_xlfn.IFS(E28="Hardware","R. Botha",E28="Software","K. van Wyk",E28="Network/Connectivity","S. Naidoo",E28="Account &amp; Access","L. Dlamini",E28="Email","T. Mahlangu",E28="Printer/Peripheral","M. Khumalo",E28="Other","Unassigned"))</f>
        <v/>
      </c>
      <c r="I28" s="14" t="str">
        <f>IF(B28="","","Open")</f>
        <v/>
      </c>
      <c r="J28" s="9" t="str">
        <f>IF(F28="","",_xlfn.IFS(F28="Critical",2,F28="High",8,F28="Medium",24,F28="Low",48))</f>
        <v/>
      </c>
      <c r="K28" s="12" t="str">
        <f>IF(B28="","",B28+(J28/24))</f>
        <v/>
      </c>
      <c r="L28" s="10"/>
      <c r="M28" s="9" t="str">
        <f ca="1">IF(B28="","",IF(I28="Resolved",IF(L28&lt;=K28,"ON TIME","BREACHED"),IF(NOW()&gt;K28,"BREACHED",IF((K28-NOW())&lt;=(J28/24)*0.25,"AT RISK","ON TIME"))))</f>
        <v/>
      </c>
      <c r="N28" s="13" t="str">
        <f>IF(E28="","",COUNTIF($E$2:$E$50,E28))</f>
        <v/>
      </c>
      <c r="O28" s="13" t="str">
        <f>IF(N28="","",IF(N28&gt;=6,"AT RISK",IF(N28&gt;=3,"WATCH","STABLE")))</f>
        <v/>
      </c>
    </row>
    <row r="29" spans="1:15" ht="15" customHeight="1">
      <c r="A29" s="9" t="str">
        <f>"NT-2026-"&amp;TEXT(ROW()-1,"0000")</f>
        <v>NT-2026-0028</v>
      </c>
      <c r="B29" s="10"/>
      <c r="C29" s="11"/>
      <c r="D29" s="11"/>
      <c r="E29" s="11"/>
      <c r="F29" s="14" t="str">
        <f>IF(E29="","",_xlfn.IFS(E29="Network/Connectivity","Critical",E29="Account &amp; Access","High",E29="Software","Medium",E29="Hardware","Medium",E29="Email","Medium",E29="Printer/Peripheral","Low",E29="Other","Medium"))</f>
        <v/>
      </c>
      <c r="G29" s="11"/>
      <c r="H29" s="14" t="str">
        <f>IF(E29="","",_xlfn.IFS(E29="Hardware","R. Botha",E29="Software","K. van Wyk",E29="Network/Connectivity","S. Naidoo",E29="Account &amp; Access","L. Dlamini",E29="Email","T. Mahlangu",E29="Printer/Peripheral","M. Khumalo",E29="Other","Unassigned"))</f>
        <v/>
      </c>
      <c r="I29" s="14" t="str">
        <f>IF(B29="","","Open")</f>
        <v/>
      </c>
      <c r="J29" s="9" t="str">
        <f>IF(F29="","",_xlfn.IFS(F29="Critical",2,F29="High",8,F29="Medium",24,F29="Low",48))</f>
        <v/>
      </c>
      <c r="K29" s="12" t="str">
        <f>IF(B29="","",B29+(J29/24))</f>
        <v/>
      </c>
      <c r="L29" s="10"/>
      <c r="M29" s="9" t="str">
        <f ca="1">IF(B29="","",IF(I29="Resolved",IF(L29&lt;=K29,"ON TIME","BREACHED"),IF(NOW()&gt;K29,"BREACHED",IF((K29-NOW())&lt;=(J29/24)*0.25,"AT RISK","ON TIME"))))</f>
        <v/>
      </c>
      <c r="N29" s="13" t="str">
        <f>IF(E29="","",COUNTIF($E$2:$E$50,E29))</f>
        <v/>
      </c>
      <c r="O29" s="13" t="str">
        <f>IF(N29="","",IF(N29&gt;=6,"AT RISK",IF(N29&gt;=3,"WATCH","STABLE")))</f>
        <v/>
      </c>
    </row>
    <row r="30" spans="1:15" ht="15" customHeight="1">
      <c r="A30" s="9" t="str">
        <f>"NT-2026-"&amp;TEXT(ROW()-1,"0000")</f>
        <v>NT-2026-0029</v>
      </c>
      <c r="B30" s="10"/>
      <c r="C30" s="11"/>
      <c r="D30" s="11"/>
      <c r="E30" s="11"/>
      <c r="F30" s="14" t="str">
        <f>IF(E30="","",_xlfn.IFS(E30="Network/Connectivity","Critical",E30="Account &amp; Access","High",E30="Software","Medium",E30="Hardware","Medium",E30="Email","Medium",E30="Printer/Peripheral","Low",E30="Other","Medium"))</f>
        <v/>
      </c>
      <c r="G30" s="11"/>
      <c r="H30" s="14" t="str">
        <f>IF(E30="","",_xlfn.IFS(E30="Hardware","R. Botha",E30="Software","K. van Wyk",E30="Network/Connectivity","S. Naidoo",E30="Account &amp; Access","L. Dlamini",E30="Email","T. Mahlangu",E30="Printer/Peripheral","M. Khumalo",E30="Other","Unassigned"))</f>
        <v/>
      </c>
      <c r="I30" s="14" t="str">
        <f>IF(B30="","","Open")</f>
        <v/>
      </c>
      <c r="J30" s="9" t="str">
        <f>IF(F30="","",_xlfn.IFS(F30="Critical",2,F30="High",8,F30="Medium",24,F30="Low",48))</f>
        <v/>
      </c>
      <c r="K30" s="12" t="str">
        <f>IF(B30="","",B30+(J30/24))</f>
        <v/>
      </c>
      <c r="L30" s="10"/>
      <c r="M30" s="9" t="str">
        <f ca="1">IF(B30="","",IF(I30="Resolved",IF(L30&lt;=K30,"ON TIME","BREACHED"),IF(NOW()&gt;K30,"BREACHED",IF((K30-NOW())&lt;=(J30/24)*0.25,"AT RISK","ON TIME"))))</f>
        <v/>
      </c>
      <c r="N30" s="13" t="str">
        <f>IF(E30="","",COUNTIF($E$2:$E$50,E30))</f>
        <v/>
      </c>
      <c r="O30" s="13" t="str">
        <f>IF(N30="","",IF(N30&gt;=6,"AT RISK",IF(N30&gt;=3,"WATCH","STABLE")))</f>
        <v/>
      </c>
    </row>
    <row r="31" spans="1:15" ht="15" customHeight="1">
      <c r="A31" s="9" t="str">
        <f>"NT-2026-"&amp;TEXT(ROW()-1,"0000")</f>
        <v>NT-2026-0030</v>
      </c>
      <c r="B31" s="10"/>
      <c r="C31" s="11"/>
      <c r="D31" s="11"/>
      <c r="E31" s="11"/>
      <c r="F31" s="14" t="str">
        <f>IF(E31="","",_xlfn.IFS(E31="Network/Connectivity","Critical",E31="Account &amp; Access","High",E31="Software","Medium",E31="Hardware","Medium",E31="Email","Medium",E31="Printer/Peripheral","Low",E31="Other","Medium"))</f>
        <v/>
      </c>
      <c r="G31" s="11"/>
      <c r="H31" s="14" t="str">
        <f>IF(E31="","",_xlfn.IFS(E31="Hardware","R. Botha",E31="Software","K. van Wyk",E31="Network/Connectivity","S. Naidoo",E31="Account &amp; Access","L. Dlamini",E31="Email","T. Mahlangu",E31="Printer/Peripheral","M. Khumalo",E31="Other","Unassigned"))</f>
        <v/>
      </c>
      <c r="I31" s="14" t="str">
        <f>IF(B31="","","Open")</f>
        <v/>
      </c>
      <c r="J31" s="9" t="str">
        <f>IF(F31="","",_xlfn.IFS(F31="Critical",2,F31="High",8,F31="Medium",24,F31="Low",48))</f>
        <v/>
      </c>
      <c r="K31" s="12" t="str">
        <f>IF(B31="","",B31+(J31/24))</f>
        <v/>
      </c>
      <c r="L31" s="10"/>
      <c r="M31" s="9" t="str">
        <f ca="1">IF(B31="","",IF(I31="Resolved",IF(L31&lt;=K31,"ON TIME","BREACHED"),IF(NOW()&gt;K31,"BREACHED",IF((K31-NOW())&lt;=(J31/24)*0.25,"AT RISK","ON TIME"))))</f>
        <v/>
      </c>
      <c r="N31" s="13" t="str">
        <f>IF(E31="","",COUNTIF($E$2:$E$50,E31))</f>
        <v/>
      </c>
      <c r="O31" s="13" t="str">
        <f>IF(N31="","",IF(N31&gt;=6,"AT RISK",IF(N31&gt;=3,"WATCH","STABLE")))</f>
        <v/>
      </c>
    </row>
    <row r="32" spans="1:15" ht="15" customHeight="1">
      <c r="A32" s="9" t="str">
        <f>"NT-2026-"&amp;TEXT(ROW()-1,"0000")</f>
        <v>NT-2026-0031</v>
      </c>
      <c r="B32" s="10"/>
      <c r="C32" s="11"/>
      <c r="D32" s="11"/>
      <c r="E32" s="11"/>
      <c r="F32" s="14" t="str">
        <f>IF(E32="","",_xlfn.IFS(E32="Network/Connectivity","Critical",E32="Account &amp; Access","High",E32="Software","Medium",E32="Hardware","Medium",E32="Email","Medium",E32="Printer/Peripheral","Low",E32="Other","Medium"))</f>
        <v/>
      </c>
      <c r="G32" s="11"/>
      <c r="H32" s="14" t="str">
        <f>IF(E32="","",_xlfn.IFS(E32="Hardware","R. Botha",E32="Software","K. van Wyk",E32="Network/Connectivity","S. Naidoo",E32="Account &amp; Access","L. Dlamini",E32="Email","T. Mahlangu",E32="Printer/Peripheral","M. Khumalo",E32="Other","Unassigned"))</f>
        <v/>
      </c>
      <c r="I32" s="14" t="str">
        <f>IF(B32="","","Open")</f>
        <v/>
      </c>
      <c r="J32" s="9" t="str">
        <f>IF(F32="","",_xlfn.IFS(F32="Critical",2,F32="High",8,F32="Medium",24,F32="Low",48))</f>
        <v/>
      </c>
      <c r="K32" s="12" t="str">
        <f>IF(B32="","",B32+(J32/24))</f>
        <v/>
      </c>
      <c r="L32" s="10"/>
      <c r="M32" s="9" t="str">
        <f ca="1">IF(B32="","",IF(I32="Resolved",IF(L32&lt;=K32,"ON TIME","BREACHED"),IF(NOW()&gt;K32,"BREACHED",IF((K32-NOW())&lt;=(J32/24)*0.25,"AT RISK","ON TIME"))))</f>
        <v/>
      </c>
      <c r="N32" s="13" t="str">
        <f>IF(E32="","",COUNTIF($E$2:$E$50,E32))</f>
        <v/>
      </c>
      <c r="O32" s="13" t="str">
        <f>IF(N32="","",IF(N32&gt;=6,"AT RISK",IF(N32&gt;=3,"WATCH","STABLE")))</f>
        <v/>
      </c>
    </row>
    <row r="33" spans="1:15" ht="15" customHeight="1">
      <c r="A33" s="9" t="str">
        <f>"NT-2026-"&amp;TEXT(ROW()-1,"0000")</f>
        <v>NT-2026-0032</v>
      </c>
      <c r="B33" s="10"/>
      <c r="C33" s="11"/>
      <c r="D33" s="11"/>
      <c r="E33" s="11"/>
      <c r="F33" s="14" t="str">
        <f>IF(E33="","",_xlfn.IFS(E33="Network/Connectivity","Critical",E33="Account &amp; Access","High",E33="Software","Medium",E33="Hardware","Medium",E33="Email","Medium",E33="Printer/Peripheral","Low",E33="Other","Medium"))</f>
        <v/>
      </c>
      <c r="G33" s="11"/>
      <c r="H33" s="14" t="str">
        <f>IF(E33="","",_xlfn.IFS(E33="Hardware","R. Botha",E33="Software","K. van Wyk",E33="Network/Connectivity","S. Naidoo",E33="Account &amp; Access","L. Dlamini",E33="Email","T. Mahlangu",E33="Printer/Peripheral","M. Khumalo",E33="Other","Unassigned"))</f>
        <v/>
      </c>
      <c r="I33" s="14" t="str">
        <f>IF(B33="","","Open")</f>
        <v/>
      </c>
      <c r="J33" s="9" t="str">
        <f>IF(F33="","",_xlfn.IFS(F33="Critical",2,F33="High",8,F33="Medium",24,F33="Low",48))</f>
        <v/>
      </c>
      <c r="K33" s="12" t="str">
        <f>IF(B33="","",B33+(J33/24))</f>
        <v/>
      </c>
      <c r="L33" s="10"/>
      <c r="M33" s="9" t="str">
        <f ca="1">IF(B33="","",IF(I33="Resolved",IF(L33&lt;=K33,"ON TIME","BREACHED"),IF(NOW()&gt;K33,"BREACHED",IF((K33-NOW())&lt;=(J33/24)*0.25,"AT RISK","ON TIME"))))</f>
        <v/>
      </c>
      <c r="N33" s="13" t="str">
        <f>IF(E33="","",COUNTIF($E$2:$E$50,E33))</f>
        <v/>
      </c>
      <c r="O33" s="13" t="str">
        <f>IF(N33="","",IF(N33&gt;=6,"AT RISK",IF(N33&gt;=3,"WATCH","STABLE")))</f>
        <v/>
      </c>
    </row>
    <row r="34" spans="1:15" ht="15" customHeight="1">
      <c r="A34" s="9" t="str">
        <f>"NT-2026-"&amp;TEXT(ROW()-1,"0000")</f>
        <v>NT-2026-0033</v>
      </c>
      <c r="B34" s="10"/>
      <c r="C34" s="11"/>
      <c r="D34" s="11"/>
      <c r="E34" s="11"/>
      <c r="F34" s="14" t="str">
        <f>IF(E34="","",_xlfn.IFS(E34="Network/Connectivity","Critical",E34="Account &amp; Access","High",E34="Software","Medium",E34="Hardware","Medium",E34="Email","Medium",E34="Printer/Peripheral","Low",E34="Other","Medium"))</f>
        <v/>
      </c>
      <c r="G34" s="11"/>
      <c r="H34" s="14" t="str">
        <f>IF(E34="","",_xlfn.IFS(E34="Hardware","R. Botha",E34="Software","K. van Wyk",E34="Network/Connectivity","S. Naidoo",E34="Account &amp; Access","L. Dlamini",E34="Email","T. Mahlangu",E34="Printer/Peripheral","M. Khumalo",E34="Other","Unassigned"))</f>
        <v/>
      </c>
      <c r="I34" s="14" t="str">
        <f>IF(B34="","","Open")</f>
        <v/>
      </c>
      <c r="J34" s="9" t="str">
        <f>IF(F34="","",_xlfn.IFS(F34="Critical",2,F34="High",8,F34="Medium",24,F34="Low",48))</f>
        <v/>
      </c>
      <c r="K34" s="12" t="str">
        <f>IF(B34="","",B34+(J34/24))</f>
        <v/>
      </c>
      <c r="L34" s="10"/>
      <c r="M34" s="9" t="str">
        <f ca="1">IF(B34="","",IF(I34="Resolved",IF(L34&lt;=K34,"ON TIME","BREACHED"),IF(NOW()&gt;K34,"BREACHED",IF((K34-NOW())&lt;=(J34/24)*0.25,"AT RISK","ON TIME"))))</f>
        <v/>
      </c>
      <c r="N34" s="13" t="str">
        <f>IF(E34="","",COUNTIF($E$2:$E$50,E34))</f>
        <v/>
      </c>
      <c r="O34" s="13" t="str">
        <f>IF(N34="","",IF(N34&gt;=6,"AT RISK",IF(N34&gt;=3,"WATCH","STABLE")))</f>
        <v/>
      </c>
    </row>
    <row r="35" spans="1:15" ht="15" customHeight="1">
      <c r="A35" s="9" t="str">
        <f>"NT-2026-"&amp;TEXT(ROW()-1,"0000")</f>
        <v>NT-2026-0034</v>
      </c>
      <c r="B35" s="10"/>
      <c r="C35" s="11"/>
      <c r="D35" s="11"/>
      <c r="E35" s="11"/>
      <c r="F35" s="14" t="str">
        <f>IF(E35="","",_xlfn.IFS(E35="Network/Connectivity","Critical",E35="Account &amp; Access","High",E35="Software","Medium",E35="Hardware","Medium",E35="Email","Medium",E35="Printer/Peripheral","Low",E35="Other","Medium"))</f>
        <v/>
      </c>
      <c r="G35" s="11"/>
      <c r="H35" s="14" t="str">
        <f>IF(E35="","",_xlfn.IFS(E35="Hardware","R. Botha",E35="Software","K. van Wyk",E35="Network/Connectivity","S. Naidoo",E35="Account &amp; Access","L. Dlamini",E35="Email","T. Mahlangu",E35="Printer/Peripheral","M. Khumalo",E35="Other","Unassigned"))</f>
        <v/>
      </c>
      <c r="I35" s="14" t="str">
        <f>IF(B35="","","Open")</f>
        <v/>
      </c>
      <c r="J35" s="9" t="str">
        <f>IF(F35="","",_xlfn.IFS(F35="Critical",2,F35="High",8,F35="Medium",24,F35="Low",48))</f>
        <v/>
      </c>
      <c r="K35" s="12" t="str">
        <f>IF(B35="","",B35+(J35/24))</f>
        <v/>
      </c>
      <c r="L35" s="10"/>
      <c r="M35" s="9" t="str">
        <f ca="1">IF(B35="","",IF(I35="Resolved",IF(L35&lt;=K35,"ON TIME","BREACHED"),IF(NOW()&gt;K35,"BREACHED",IF((K35-NOW())&lt;=(J35/24)*0.25,"AT RISK","ON TIME"))))</f>
        <v/>
      </c>
      <c r="N35" s="13" t="str">
        <f>IF(E35="","",COUNTIF($E$2:$E$50,E35))</f>
        <v/>
      </c>
      <c r="O35" s="13" t="str">
        <f>IF(N35="","",IF(N35&gt;=6,"AT RISK",IF(N35&gt;=3,"WATCH","STABLE")))</f>
        <v/>
      </c>
    </row>
    <row r="36" spans="1:15" ht="15" customHeight="1">
      <c r="A36" s="9" t="str">
        <f>"NT-2026-"&amp;TEXT(ROW()-1,"0000")</f>
        <v>NT-2026-0035</v>
      </c>
      <c r="B36" s="10"/>
      <c r="C36" s="11"/>
      <c r="D36" s="11"/>
      <c r="E36" s="11"/>
      <c r="F36" s="14" t="str">
        <f>IF(E36="","",_xlfn.IFS(E36="Network/Connectivity","Critical",E36="Account &amp; Access","High",E36="Software","Medium",E36="Hardware","Medium",E36="Email","Medium",E36="Printer/Peripheral","Low",E36="Other","Medium"))</f>
        <v/>
      </c>
      <c r="G36" s="11"/>
      <c r="H36" s="14" t="str">
        <f>IF(E36="","",_xlfn.IFS(E36="Hardware","R. Botha",E36="Software","K. van Wyk",E36="Network/Connectivity","S. Naidoo",E36="Account &amp; Access","L. Dlamini",E36="Email","T. Mahlangu",E36="Printer/Peripheral","M. Khumalo",E36="Other","Unassigned"))</f>
        <v/>
      </c>
      <c r="I36" s="14" t="str">
        <f>IF(B36="","","Open")</f>
        <v/>
      </c>
      <c r="J36" s="9" t="str">
        <f>IF(F36="","",_xlfn.IFS(F36="Critical",2,F36="High",8,F36="Medium",24,F36="Low",48))</f>
        <v/>
      </c>
      <c r="K36" s="12" t="str">
        <f>IF(B36="","",B36+(J36/24))</f>
        <v/>
      </c>
      <c r="L36" s="10"/>
      <c r="M36" s="9" t="str">
        <f ca="1">IF(B36="","",IF(I36="Resolved",IF(L36&lt;=K36,"ON TIME","BREACHED"),IF(NOW()&gt;K36,"BREACHED",IF((K36-NOW())&lt;=(J36/24)*0.25,"AT RISK","ON TIME"))))</f>
        <v/>
      </c>
      <c r="N36" s="13" t="str">
        <f>IF(E36="","",COUNTIF($E$2:$E$50,E36))</f>
        <v/>
      </c>
      <c r="O36" s="13" t="str">
        <f>IF(N36="","",IF(N36&gt;=6,"AT RISK",IF(N36&gt;=3,"WATCH","STABLE")))</f>
        <v/>
      </c>
    </row>
    <row r="37" spans="1:15" ht="15" customHeight="1">
      <c r="A37" s="9" t="str">
        <f>"NT-2026-"&amp;TEXT(ROW()-1,"0000")</f>
        <v>NT-2026-0036</v>
      </c>
      <c r="B37" s="10"/>
      <c r="C37" s="11"/>
      <c r="D37" s="11"/>
      <c r="E37" s="11"/>
      <c r="F37" s="14" t="str">
        <f>IF(E37="","",_xlfn.IFS(E37="Network/Connectivity","Critical",E37="Account &amp; Access","High",E37="Software","Medium",E37="Hardware","Medium",E37="Email","Medium",E37="Printer/Peripheral","Low",E37="Other","Medium"))</f>
        <v/>
      </c>
      <c r="G37" s="11"/>
      <c r="H37" s="14" t="str">
        <f>IF(E37="","",_xlfn.IFS(E37="Hardware","R. Botha",E37="Software","K. van Wyk",E37="Network/Connectivity","S. Naidoo",E37="Account &amp; Access","L. Dlamini",E37="Email","T. Mahlangu",E37="Printer/Peripheral","M. Khumalo",E37="Other","Unassigned"))</f>
        <v/>
      </c>
      <c r="I37" s="14" t="str">
        <f>IF(B37="","","Open")</f>
        <v/>
      </c>
      <c r="J37" s="9" t="str">
        <f>IF(F37="","",_xlfn.IFS(F37="Critical",2,F37="High",8,F37="Medium",24,F37="Low",48))</f>
        <v/>
      </c>
      <c r="K37" s="12" t="str">
        <f>IF(B37="","",B37+(J37/24))</f>
        <v/>
      </c>
      <c r="L37" s="10"/>
      <c r="M37" s="9" t="str">
        <f ca="1">IF(B37="","",IF(I37="Resolved",IF(L37&lt;=K37,"ON TIME","BREACHED"),IF(NOW()&gt;K37,"BREACHED",IF((K37-NOW())&lt;=(J37/24)*0.25,"AT RISK","ON TIME"))))</f>
        <v/>
      </c>
      <c r="N37" s="13" t="str">
        <f>IF(E37="","",COUNTIF($E$2:$E$50,E37))</f>
        <v/>
      </c>
      <c r="O37" s="13" t="str">
        <f>IF(N37="","",IF(N37&gt;=6,"AT RISK",IF(N37&gt;=3,"WATCH","STABLE")))</f>
        <v/>
      </c>
    </row>
    <row r="38" spans="1:15" ht="15" customHeight="1">
      <c r="A38" s="9" t="str">
        <f>"NT-2026-"&amp;TEXT(ROW()-1,"0000")</f>
        <v>NT-2026-0037</v>
      </c>
      <c r="B38" s="10"/>
      <c r="C38" s="11"/>
      <c r="D38" s="11"/>
      <c r="E38" s="11"/>
      <c r="F38" s="14" t="str">
        <f>IF(E38="","",_xlfn.IFS(E38="Network/Connectivity","Critical",E38="Account &amp; Access","High",E38="Software","Medium",E38="Hardware","Medium",E38="Email","Medium",E38="Printer/Peripheral","Low",E38="Other","Medium"))</f>
        <v/>
      </c>
      <c r="G38" s="11"/>
      <c r="H38" s="14" t="str">
        <f>IF(E38="","",_xlfn.IFS(E38="Hardware","R. Botha",E38="Software","K. van Wyk",E38="Network/Connectivity","S. Naidoo",E38="Account &amp; Access","L. Dlamini",E38="Email","T. Mahlangu",E38="Printer/Peripheral","M. Khumalo",E38="Other","Unassigned"))</f>
        <v/>
      </c>
      <c r="I38" s="14" t="str">
        <f>IF(B38="","","Open")</f>
        <v/>
      </c>
      <c r="J38" s="9" t="str">
        <f>IF(F38="","",_xlfn.IFS(F38="Critical",2,F38="High",8,F38="Medium",24,F38="Low",48))</f>
        <v/>
      </c>
      <c r="K38" s="12" t="str">
        <f>IF(B38="","",B38+(J38/24))</f>
        <v/>
      </c>
      <c r="L38" s="10"/>
      <c r="M38" s="9" t="str">
        <f ca="1">IF(B38="","",IF(I38="Resolved",IF(L38&lt;=K38,"ON TIME","BREACHED"),IF(NOW()&gt;K38,"BREACHED",IF((K38-NOW())&lt;=(J38/24)*0.25,"AT RISK","ON TIME"))))</f>
        <v/>
      </c>
      <c r="N38" s="13" t="str">
        <f>IF(E38="","",COUNTIF($E$2:$E$50,E38))</f>
        <v/>
      </c>
      <c r="O38" s="13" t="str">
        <f>IF(N38="","",IF(N38&gt;=6,"AT RISK",IF(N38&gt;=3,"WATCH","STABLE")))</f>
        <v/>
      </c>
    </row>
    <row r="39" spans="1:15" ht="15" customHeight="1">
      <c r="A39" s="9" t="str">
        <f>"NT-2026-"&amp;TEXT(ROW()-1,"0000")</f>
        <v>NT-2026-0038</v>
      </c>
      <c r="B39" s="10"/>
      <c r="C39" s="11"/>
      <c r="D39" s="11"/>
      <c r="E39" s="11"/>
      <c r="F39" s="14" t="str">
        <f>IF(E39="","",_xlfn.IFS(E39="Network/Connectivity","Critical",E39="Account &amp; Access","High",E39="Software","Medium",E39="Hardware","Medium",E39="Email","Medium",E39="Printer/Peripheral","Low",E39="Other","Medium"))</f>
        <v/>
      </c>
      <c r="G39" s="11"/>
      <c r="H39" s="14" t="str">
        <f>IF(E39="","",_xlfn.IFS(E39="Hardware","R. Botha",E39="Software","K. van Wyk",E39="Network/Connectivity","S. Naidoo",E39="Account &amp; Access","L. Dlamini",E39="Email","T. Mahlangu",E39="Printer/Peripheral","M. Khumalo",E39="Other","Unassigned"))</f>
        <v/>
      </c>
      <c r="I39" s="14" t="str">
        <f>IF(B39="","","Open")</f>
        <v/>
      </c>
      <c r="J39" s="9" t="str">
        <f>IF(F39="","",_xlfn.IFS(F39="Critical",2,F39="High",8,F39="Medium",24,F39="Low",48))</f>
        <v/>
      </c>
      <c r="K39" s="12" t="str">
        <f>IF(B39="","",B39+(J39/24))</f>
        <v/>
      </c>
      <c r="L39" s="10"/>
      <c r="M39" s="9" t="str">
        <f ca="1">IF(B39="","",IF(I39="Resolved",IF(L39&lt;=K39,"ON TIME","BREACHED"),IF(NOW()&gt;K39,"BREACHED",IF((K39-NOW())&lt;=(J39/24)*0.25,"AT RISK","ON TIME"))))</f>
        <v/>
      </c>
      <c r="N39" s="13" t="str">
        <f>IF(E39="","",COUNTIF($E$2:$E$50,E39))</f>
        <v/>
      </c>
      <c r="O39" s="13" t="str">
        <f>IF(N39="","",IF(N39&gt;=6,"AT RISK",IF(N39&gt;=3,"WATCH","STABLE")))</f>
        <v/>
      </c>
    </row>
    <row r="40" spans="1:15" ht="15" customHeight="1">
      <c r="A40" s="9" t="str">
        <f>"NT-2026-"&amp;TEXT(ROW()-1,"0000")</f>
        <v>NT-2026-0039</v>
      </c>
      <c r="B40" s="10"/>
      <c r="C40" s="11"/>
      <c r="D40" s="11"/>
      <c r="E40" s="11"/>
      <c r="F40" s="14" t="str">
        <f>IF(E40="","",_xlfn.IFS(E40="Network/Connectivity","Critical",E40="Account &amp; Access","High",E40="Software","Medium",E40="Hardware","Medium",E40="Email","Medium",E40="Printer/Peripheral","Low",E40="Other","Medium"))</f>
        <v/>
      </c>
      <c r="G40" s="11"/>
      <c r="H40" s="14" t="str">
        <f>IF(E40="","",_xlfn.IFS(E40="Hardware","R. Botha",E40="Software","K. van Wyk",E40="Network/Connectivity","S. Naidoo",E40="Account &amp; Access","L. Dlamini",E40="Email","T. Mahlangu",E40="Printer/Peripheral","M. Khumalo",E40="Other","Unassigned"))</f>
        <v/>
      </c>
      <c r="I40" s="14" t="str">
        <f>IF(B40="","","Open")</f>
        <v/>
      </c>
      <c r="J40" s="9" t="str">
        <f>IF(F40="","",_xlfn.IFS(F40="Critical",2,F40="High",8,F40="Medium",24,F40="Low",48))</f>
        <v/>
      </c>
      <c r="K40" s="12" t="str">
        <f>IF(B40="","",B40+(J40/24))</f>
        <v/>
      </c>
      <c r="L40" s="10"/>
      <c r="M40" s="9" t="str">
        <f ca="1">IF(B40="","",IF(I40="Resolved",IF(L40&lt;=K40,"ON TIME","BREACHED"),IF(NOW()&gt;K40,"BREACHED",IF((K40-NOW())&lt;=(J40/24)*0.25,"AT RISK","ON TIME"))))</f>
        <v/>
      </c>
      <c r="N40" s="13" t="str">
        <f>IF(E40="","",COUNTIF($E$2:$E$50,E40))</f>
        <v/>
      </c>
      <c r="O40" s="13" t="str">
        <f>IF(N40="","",IF(N40&gt;=6,"AT RISK",IF(N40&gt;=3,"WATCH","STABLE")))</f>
        <v/>
      </c>
    </row>
    <row r="41" spans="1:15" ht="15" customHeight="1">
      <c r="A41" s="9" t="str">
        <f>"NT-2026-"&amp;TEXT(ROW()-1,"0000")</f>
        <v>NT-2026-0040</v>
      </c>
      <c r="B41" s="10"/>
      <c r="C41" s="11"/>
      <c r="D41" s="11"/>
      <c r="E41" s="11"/>
      <c r="F41" s="14" t="str">
        <f>IF(E41="","",_xlfn.IFS(E41="Network/Connectivity","Critical",E41="Account &amp; Access","High",E41="Software","Medium",E41="Hardware","Medium",E41="Email","Medium",E41="Printer/Peripheral","Low",E41="Other","Medium"))</f>
        <v/>
      </c>
      <c r="G41" s="11"/>
      <c r="H41" s="14" t="str">
        <f>IF(E41="","",_xlfn.IFS(E41="Hardware","R. Botha",E41="Software","K. van Wyk",E41="Network/Connectivity","S. Naidoo",E41="Account &amp; Access","L. Dlamini",E41="Email","T. Mahlangu",E41="Printer/Peripheral","M. Khumalo",E41="Other","Unassigned"))</f>
        <v/>
      </c>
      <c r="I41" s="14" t="str">
        <f>IF(B41="","","Open")</f>
        <v/>
      </c>
      <c r="J41" s="9" t="str">
        <f>IF(F41="","",_xlfn.IFS(F41="Critical",2,F41="High",8,F41="Medium",24,F41="Low",48))</f>
        <v/>
      </c>
      <c r="K41" s="12" t="str">
        <f>IF(B41="","",B41+(J41/24))</f>
        <v/>
      </c>
      <c r="L41" s="10"/>
      <c r="M41" s="9" t="str">
        <f ca="1">IF(B41="","",IF(I41="Resolved",IF(L41&lt;=K41,"ON TIME","BREACHED"),IF(NOW()&gt;K41,"BREACHED",IF((K41-NOW())&lt;=(J41/24)*0.25,"AT RISK","ON TIME"))))</f>
        <v/>
      </c>
      <c r="N41" s="13" t="str">
        <f>IF(E41="","",COUNTIF($E$2:$E$50,E41))</f>
        <v/>
      </c>
      <c r="O41" s="13" t="str">
        <f>IF(N41="","",IF(N41&gt;=6,"AT RISK",IF(N41&gt;=3,"WATCH","STABLE")))</f>
        <v/>
      </c>
    </row>
    <row r="42" spans="1:15" ht="15" customHeight="1">
      <c r="A42" s="9" t="str">
        <f>"NT-2026-"&amp;TEXT(ROW()-1,"0000")</f>
        <v>NT-2026-0041</v>
      </c>
      <c r="B42" s="10"/>
      <c r="C42" s="11"/>
      <c r="D42" s="11"/>
      <c r="E42" s="11"/>
      <c r="F42" s="14" t="str">
        <f>IF(E42="","",_xlfn.IFS(E42="Network/Connectivity","Critical",E42="Account &amp; Access","High",E42="Software","Medium",E42="Hardware","Medium",E42="Email","Medium",E42="Printer/Peripheral","Low",E42="Other","Medium"))</f>
        <v/>
      </c>
      <c r="G42" s="11"/>
      <c r="H42" s="14" t="str">
        <f>IF(E42="","",_xlfn.IFS(E42="Hardware","R. Botha",E42="Software","K. van Wyk",E42="Network/Connectivity","S. Naidoo",E42="Account &amp; Access","L. Dlamini",E42="Email","T. Mahlangu",E42="Printer/Peripheral","M. Khumalo",E42="Other","Unassigned"))</f>
        <v/>
      </c>
      <c r="I42" s="14" t="str">
        <f>IF(B42="","","Open")</f>
        <v/>
      </c>
      <c r="J42" s="9" t="str">
        <f>IF(F42="","",_xlfn.IFS(F42="Critical",2,F42="High",8,F42="Medium",24,F42="Low",48))</f>
        <v/>
      </c>
      <c r="K42" s="12" t="str">
        <f>IF(B42="","",B42+(J42/24))</f>
        <v/>
      </c>
      <c r="L42" s="10"/>
      <c r="M42" s="9" t="str">
        <f ca="1">IF(B42="","",IF(I42="Resolved",IF(L42&lt;=K42,"ON TIME","BREACHED"),IF(NOW()&gt;K42,"BREACHED",IF((K42-NOW())&lt;=(J42/24)*0.25,"AT RISK","ON TIME"))))</f>
        <v/>
      </c>
      <c r="N42" s="13" t="str">
        <f>IF(E42="","",COUNTIF($E$2:$E$50,E42))</f>
        <v/>
      </c>
      <c r="O42" s="13" t="str">
        <f>IF(N42="","",IF(N42&gt;=6,"AT RISK",IF(N42&gt;=3,"WATCH","STABLE")))</f>
        <v/>
      </c>
    </row>
    <row r="43" spans="1:15" ht="15" customHeight="1">
      <c r="A43" s="9" t="str">
        <f>"NT-2026-"&amp;TEXT(ROW()-1,"0000")</f>
        <v>NT-2026-0042</v>
      </c>
      <c r="B43" s="10"/>
      <c r="C43" s="11"/>
      <c r="D43" s="11"/>
      <c r="E43" s="11"/>
      <c r="F43" s="14" t="str">
        <f>IF(E43="","",_xlfn.IFS(E43="Network/Connectivity","Critical",E43="Account &amp; Access","High",E43="Software","Medium",E43="Hardware","Medium",E43="Email","Medium",E43="Printer/Peripheral","Low",E43="Other","Medium"))</f>
        <v/>
      </c>
      <c r="G43" s="11"/>
      <c r="H43" s="14" t="str">
        <f>IF(E43="","",_xlfn.IFS(E43="Hardware","R. Botha",E43="Software","K. van Wyk",E43="Network/Connectivity","S. Naidoo",E43="Account &amp; Access","L. Dlamini",E43="Email","T. Mahlangu",E43="Printer/Peripheral","M. Khumalo",E43="Other","Unassigned"))</f>
        <v/>
      </c>
      <c r="I43" s="14" t="str">
        <f>IF(B43="","","Open")</f>
        <v/>
      </c>
      <c r="J43" s="9" t="str">
        <f>IF(F43="","",_xlfn.IFS(F43="Critical",2,F43="High",8,F43="Medium",24,F43="Low",48))</f>
        <v/>
      </c>
      <c r="K43" s="12" t="str">
        <f>IF(B43="","",B43+(J43/24))</f>
        <v/>
      </c>
      <c r="L43" s="10"/>
      <c r="M43" s="9" t="str">
        <f ca="1">IF(B43="","",IF(I43="Resolved",IF(L43&lt;=K43,"ON TIME","BREACHED"),IF(NOW()&gt;K43,"BREACHED",IF((K43-NOW())&lt;=(J43/24)*0.25,"AT RISK","ON TIME"))))</f>
        <v/>
      </c>
      <c r="N43" s="13" t="str">
        <f>IF(E43="","",COUNTIF($E$2:$E$50,E43))</f>
        <v/>
      </c>
      <c r="O43" s="13" t="str">
        <f>IF(N43="","",IF(N43&gt;=6,"AT RISK",IF(N43&gt;=3,"WATCH","STABLE")))</f>
        <v/>
      </c>
    </row>
    <row r="44" spans="1:15" ht="15" customHeight="1">
      <c r="A44" s="9" t="str">
        <f>"NT-2026-"&amp;TEXT(ROW()-1,"0000")</f>
        <v>NT-2026-0043</v>
      </c>
      <c r="B44" s="10"/>
      <c r="C44" s="11"/>
      <c r="D44" s="11"/>
      <c r="E44" s="11"/>
      <c r="F44" s="14" t="str">
        <f>IF(E44="","",_xlfn.IFS(E44="Network/Connectivity","Critical",E44="Account &amp; Access","High",E44="Software","Medium",E44="Hardware","Medium",E44="Email","Medium",E44="Printer/Peripheral","Low",E44="Other","Medium"))</f>
        <v/>
      </c>
      <c r="G44" s="11"/>
      <c r="H44" s="14" t="str">
        <f>IF(E44="","",_xlfn.IFS(E44="Hardware","R. Botha",E44="Software","K. van Wyk",E44="Network/Connectivity","S. Naidoo",E44="Account &amp; Access","L. Dlamini",E44="Email","T. Mahlangu",E44="Printer/Peripheral","M. Khumalo",E44="Other","Unassigned"))</f>
        <v/>
      </c>
      <c r="I44" s="14" t="str">
        <f>IF(B44="","","Open")</f>
        <v/>
      </c>
      <c r="J44" s="9" t="str">
        <f>IF(F44="","",_xlfn.IFS(F44="Critical",2,F44="High",8,F44="Medium",24,F44="Low",48))</f>
        <v/>
      </c>
      <c r="K44" s="12" t="str">
        <f>IF(B44="","",B44+(J44/24))</f>
        <v/>
      </c>
      <c r="L44" s="10"/>
      <c r="M44" s="9" t="str">
        <f ca="1">IF(B44="","",IF(I44="Resolved",IF(L44&lt;=K44,"ON TIME","BREACHED"),IF(NOW()&gt;K44,"BREACHED",IF((K44-NOW())&lt;=(J44/24)*0.25,"AT RISK","ON TIME"))))</f>
        <v/>
      </c>
      <c r="N44" s="13" t="str">
        <f>IF(E44="","",COUNTIF($E$2:$E$50,E44))</f>
        <v/>
      </c>
      <c r="O44" s="13" t="str">
        <f>IF(N44="","",IF(N44&gt;=6,"AT RISK",IF(N44&gt;=3,"WATCH","STABLE")))</f>
        <v/>
      </c>
    </row>
    <row r="45" spans="1:15" ht="15" customHeight="1">
      <c r="A45" s="9" t="str">
        <f>"NT-2026-"&amp;TEXT(ROW()-1,"0000")</f>
        <v>NT-2026-0044</v>
      </c>
      <c r="B45" s="10"/>
      <c r="C45" s="11"/>
      <c r="D45" s="11"/>
      <c r="E45" s="11"/>
      <c r="F45" s="14" t="str">
        <f>IF(E45="","",_xlfn.IFS(E45="Network/Connectivity","Critical",E45="Account &amp; Access","High",E45="Software","Medium",E45="Hardware","Medium",E45="Email","Medium",E45="Printer/Peripheral","Low",E45="Other","Medium"))</f>
        <v/>
      </c>
      <c r="G45" s="11"/>
      <c r="H45" s="14" t="str">
        <f>IF(E45="","",_xlfn.IFS(E45="Hardware","R. Botha",E45="Software","K. van Wyk",E45="Network/Connectivity","S. Naidoo",E45="Account &amp; Access","L. Dlamini",E45="Email","T. Mahlangu",E45="Printer/Peripheral","M. Khumalo",E45="Other","Unassigned"))</f>
        <v/>
      </c>
      <c r="I45" s="14" t="str">
        <f>IF(B45="","","Open")</f>
        <v/>
      </c>
      <c r="J45" s="9" t="str">
        <f>IF(F45="","",_xlfn.IFS(F45="Critical",2,F45="High",8,F45="Medium",24,F45="Low",48))</f>
        <v/>
      </c>
      <c r="K45" s="12" t="str">
        <f>IF(B45="","",B45+(J45/24))</f>
        <v/>
      </c>
      <c r="L45" s="10"/>
      <c r="M45" s="9" t="str">
        <f ca="1">IF(B45="","",IF(I45="Resolved",IF(L45&lt;=K45,"ON TIME","BREACHED"),IF(NOW()&gt;K45,"BREACHED",IF((K45-NOW())&lt;=(J45/24)*0.25,"AT RISK","ON TIME"))))</f>
        <v/>
      </c>
      <c r="N45" s="13" t="str">
        <f>IF(E45="","",COUNTIF($E$2:$E$50,E45))</f>
        <v/>
      </c>
      <c r="O45" s="13" t="str">
        <f>IF(N45="","",IF(N45&gt;=6,"AT RISK",IF(N45&gt;=3,"WATCH","STABLE")))</f>
        <v/>
      </c>
    </row>
    <row r="46" spans="1:15" ht="15" customHeight="1">
      <c r="A46" s="9" t="str">
        <f>"NT-2026-"&amp;TEXT(ROW()-1,"0000")</f>
        <v>NT-2026-0045</v>
      </c>
      <c r="B46" s="10"/>
      <c r="C46" s="11"/>
      <c r="D46" s="11"/>
      <c r="E46" s="11"/>
      <c r="F46" s="14" t="str">
        <f>IF(E46="","",_xlfn.IFS(E46="Network/Connectivity","Critical",E46="Account &amp; Access","High",E46="Software","Medium",E46="Hardware","Medium",E46="Email","Medium",E46="Printer/Peripheral","Low",E46="Other","Medium"))</f>
        <v/>
      </c>
      <c r="G46" s="11"/>
      <c r="H46" s="14" t="str">
        <f>IF(E46="","",_xlfn.IFS(E46="Hardware","R. Botha",E46="Software","K. van Wyk",E46="Network/Connectivity","S. Naidoo",E46="Account &amp; Access","L. Dlamini",E46="Email","T. Mahlangu",E46="Printer/Peripheral","M. Khumalo",E46="Other","Unassigned"))</f>
        <v/>
      </c>
      <c r="I46" s="14" t="str">
        <f>IF(B46="","","Open")</f>
        <v/>
      </c>
      <c r="J46" s="9" t="str">
        <f>IF(F46="","",_xlfn.IFS(F46="Critical",2,F46="High",8,F46="Medium",24,F46="Low",48))</f>
        <v/>
      </c>
      <c r="K46" s="12" t="str">
        <f>IF(B46="","",B46+(J46/24))</f>
        <v/>
      </c>
      <c r="L46" s="10"/>
      <c r="M46" s="9" t="str">
        <f ca="1">IF(B46="","",IF(I46="Resolved",IF(L46&lt;=K46,"ON TIME","BREACHED"),IF(NOW()&gt;K46,"BREACHED",IF((K46-NOW())&lt;=(J46/24)*0.25,"AT RISK","ON TIME"))))</f>
        <v/>
      </c>
      <c r="N46" s="13" t="str">
        <f>IF(E46="","",COUNTIF($E$2:$E$50,E46))</f>
        <v/>
      </c>
      <c r="O46" s="13" t="str">
        <f>IF(N46="","",IF(N46&gt;=6,"AT RISK",IF(N46&gt;=3,"WATCH","STABLE")))</f>
        <v/>
      </c>
    </row>
    <row r="47" spans="1:15" ht="15" customHeight="1">
      <c r="A47" s="9" t="str">
        <f>"NT-2026-"&amp;TEXT(ROW()-1,"0000")</f>
        <v>NT-2026-0046</v>
      </c>
      <c r="B47" s="10"/>
      <c r="C47" s="11"/>
      <c r="D47" s="11"/>
      <c r="E47" s="11"/>
      <c r="F47" s="14" t="str">
        <f>IF(E47="","",_xlfn.IFS(E47="Network/Connectivity","Critical",E47="Account &amp; Access","High",E47="Software","Medium",E47="Hardware","Medium",E47="Email","Medium",E47="Printer/Peripheral","Low",E47="Other","Medium"))</f>
        <v/>
      </c>
      <c r="G47" s="11"/>
      <c r="H47" s="14" t="str">
        <f>IF(E47="","",_xlfn.IFS(E47="Hardware","R. Botha",E47="Software","K. van Wyk",E47="Network/Connectivity","S. Naidoo",E47="Account &amp; Access","L. Dlamini",E47="Email","T. Mahlangu",E47="Printer/Peripheral","M. Khumalo",E47="Other","Unassigned"))</f>
        <v/>
      </c>
      <c r="I47" s="14" t="str">
        <f>IF(B47="","","Open")</f>
        <v/>
      </c>
      <c r="J47" s="9" t="str">
        <f>IF(F47="","",_xlfn.IFS(F47="Critical",2,F47="High",8,F47="Medium",24,F47="Low",48))</f>
        <v/>
      </c>
      <c r="K47" s="12" t="str">
        <f>IF(B47="","",B47+(J47/24))</f>
        <v/>
      </c>
      <c r="L47" s="10"/>
      <c r="M47" s="9" t="str">
        <f ca="1">IF(B47="","",IF(I47="Resolved",IF(L47&lt;=K47,"ON TIME","BREACHED"),IF(NOW()&gt;K47,"BREACHED",IF((K47-NOW())&lt;=(J47/24)*0.25,"AT RISK","ON TIME"))))</f>
        <v/>
      </c>
      <c r="N47" s="13" t="str">
        <f>IF(E47="","",COUNTIF($E$2:$E$50,E47))</f>
        <v/>
      </c>
      <c r="O47" s="13" t="str">
        <f>IF(N47="","",IF(N47&gt;=6,"AT RISK",IF(N47&gt;=3,"WATCH","STABLE")))</f>
        <v/>
      </c>
    </row>
    <row r="48" spans="1:15" ht="15" customHeight="1">
      <c r="A48" s="9" t="str">
        <f>"NT-2026-"&amp;TEXT(ROW()-1,"0000")</f>
        <v>NT-2026-0047</v>
      </c>
      <c r="B48" s="10"/>
      <c r="C48" s="11"/>
      <c r="D48" s="11"/>
      <c r="E48" s="11"/>
      <c r="F48" s="14" t="str">
        <f>IF(E48="","",_xlfn.IFS(E48="Network/Connectivity","Critical",E48="Account &amp; Access","High",E48="Software","Medium",E48="Hardware","Medium",E48="Email","Medium",E48="Printer/Peripheral","Low",E48="Other","Medium"))</f>
        <v/>
      </c>
      <c r="G48" s="11"/>
      <c r="H48" s="14" t="str">
        <f>IF(E48="","",_xlfn.IFS(E48="Hardware","R. Botha",E48="Software","K. van Wyk",E48="Network/Connectivity","S. Naidoo",E48="Account &amp; Access","L. Dlamini",E48="Email","T. Mahlangu",E48="Printer/Peripheral","M. Khumalo",E48="Other","Unassigned"))</f>
        <v/>
      </c>
      <c r="I48" s="14" t="str">
        <f>IF(B48="","","Open")</f>
        <v/>
      </c>
      <c r="J48" s="9" t="str">
        <f>IF(F48="","",_xlfn.IFS(F48="Critical",2,F48="High",8,F48="Medium",24,F48="Low",48))</f>
        <v/>
      </c>
      <c r="K48" s="12" t="str">
        <f>IF(B48="","",B48+(J48/24))</f>
        <v/>
      </c>
      <c r="L48" s="10"/>
      <c r="M48" s="9" t="str">
        <f ca="1">IF(B48="","",IF(I48="Resolved",IF(L48&lt;=K48,"ON TIME","BREACHED"),IF(NOW()&gt;K48,"BREACHED",IF((K48-NOW())&lt;=(J48/24)*0.25,"AT RISK","ON TIME"))))</f>
        <v/>
      </c>
      <c r="N48" s="13" t="str">
        <f>IF(E48="","",COUNTIF($E$2:$E$50,E48))</f>
        <v/>
      </c>
      <c r="O48" s="13" t="str">
        <f>IF(N48="","",IF(N48&gt;=6,"AT RISK",IF(N48&gt;=3,"WATCH","STABLE")))</f>
        <v/>
      </c>
    </row>
    <row r="49" spans="1:15" ht="15" customHeight="1">
      <c r="A49" s="9" t="str">
        <f>"NT-2026-"&amp;TEXT(ROW()-1,"0000")</f>
        <v>NT-2026-0048</v>
      </c>
      <c r="B49" s="10"/>
      <c r="C49" s="11"/>
      <c r="D49" s="11"/>
      <c r="E49" s="11"/>
      <c r="F49" s="14" t="str">
        <f>IF(E49="","",_xlfn.IFS(E49="Network/Connectivity","Critical",E49="Account &amp; Access","High",E49="Software","Medium",E49="Hardware","Medium",E49="Email","Medium",E49="Printer/Peripheral","Low",E49="Other","Medium"))</f>
        <v/>
      </c>
      <c r="G49" s="11"/>
      <c r="H49" s="14" t="str">
        <f>IF(E49="","",_xlfn.IFS(E49="Hardware","R. Botha",E49="Software","K. van Wyk",E49="Network/Connectivity","S. Naidoo",E49="Account &amp; Access","L. Dlamini",E49="Email","T. Mahlangu",E49="Printer/Peripheral","M. Khumalo",E49="Other","Unassigned"))</f>
        <v/>
      </c>
      <c r="I49" s="14" t="str">
        <f>IF(B49="","","Open")</f>
        <v/>
      </c>
      <c r="J49" s="9" t="str">
        <f>IF(F49="","",_xlfn.IFS(F49="Critical",2,F49="High",8,F49="Medium",24,F49="Low",48))</f>
        <v/>
      </c>
      <c r="K49" s="12" t="str">
        <f>IF(B49="","",B49+(J49/24))</f>
        <v/>
      </c>
      <c r="L49" s="10"/>
      <c r="M49" s="9" t="str">
        <f ca="1">IF(B49="","",IF(I49="Resolved",IF(L49&lt;=K49,"ON TIME","BREACHED"),IF(NOW()&gt;K49,"BREACHED",IF((K49-NOW())&lt;=(J49/24)*0.25,"AT RISK","ON TIME"))))</f>
        <v/>
      </c>
      <c r="N49" s="13" t="str">
        <f>IF(E49="","",COUNTIF($E$2:$E$50,E49))</f>
        <v/>
      </c>
      <c r="O49" s="13" t="str">
        <f>IF(N49="","",IF(N49&gt;=6,"AT RISK",IF(N49&gt;=3,"WATCH","STABLE")))</f>
        <v/>
      </c>
    </row>
    <row r="50" spans="1:15" ht="15" customHeight="1">
      <c r="A50" s="9" t="str">
        <f>"NT-2026-"&amp;TEXT(ROW()-1,"0000")</f>
        <v>NT-2026-0049</v>
      </c>
      <c r="B50" s="10"/>
      <c r="C50" s="11"/>
      <c r="D50" s="11"/>
      <c r="E50" s="11"/>
      <c r="F50" s="14" t="str">
        <f>IF(E50="","",_xlfn.IFS(E50="Network/Connectivity","Critical",E50="Account &amp; Access","High",E50="Software","Medium",E50="Hardware","Medium",E50="Email","Medium",E50="Printer/Peripheral","Low",E50="Other","Medium"))</f>
        <v/>
      </c>
      <c r="G50" s="11"/>
      <c r="H50" s="14" t="str">
        <f>IF(E50="","",_xlfn.IFS(E50="Hardware","R. Botha",E50="Software","K. van Wyk",E50="Network/Connectivity","S. Naidoo",E50="Account &amp; Access","L. Dlamini",E50="Email","T. Mahlangu",E50="Printer/Peripheral","M. Khumalo",E50="Other","Unassigned"))</f>
        <v/>
      </c>
      <c r="I50" s="14" t="str">
        <f>IF(B50="","","Open")</f>
        <v/>
      </c>
      <c r="J50" s="9" t="str">
        <f>IF(F50="","",_xlfn.IFS(F50="Critical",2,F50="High",8,F50="Medium",24,F50="Low",48))</f>
        <v/>
      </c>
      <c r="K50" s="12" t="str">
        <f>IF(B50="","",B50+(J50/24))</f>
        <v/>
      </c>
      <c r="L50" s="10"/>
      <c r="M50" s="9" t="str">
        <f ca="1">IF(B50="","",IF(I50="Resolved",IF(L50&lt;=K50,"ON TIME","BREACHED"),IF(NOW()&gt;K50,"BREACHED",IF((K50-NOW())&lt;=(J50/24)*0.25,"AT RISK","ON TIME"))))</f>
        <v/>
      </c>
      <c r="N50" s="13" t="str">
        <f>IF(E50="","",COUNTIF($E$2:$E$50,E50))</f>
        <v/>
      </c>
      <c r="O50" s="13" t="str">
        <f>IF(N50="","",IF(N50&gt;=6,"AT RISK",IF(N50&gt;=3,"WATCH","STABLE")))</f>
        <v/>
      </c>
    </row>
  </sheetData>
  <conditionalFormatting sqref="F2:F50">
    <cfRule type="expression" dxfId="12" priority="2">
      <formula>$F2="Critical"</formula>
    </cfRule>
    <cfRule type="expression" dxfId="11" priority="3">
      <formula>$F2="High"</formula>
    </cfRule>
    <cfRule type="expression" dxfId="10" priority="4">
      <formula>$F2="Medium"</formula>
    </cfRule>
    <cfRule type="expression" dxfId="9" priority="5">
      <formula>$F2="Low"</formula>
    </cfRule>
  </conditionalFormatting>
  <conditionalFormatting sqref="M2:M50">
    <cfRule type="expression" dxfId="8" priority="6">
      <formula>$M2="BREACHED"</formula>
    </cfRule>
    <cfRule type="expression" dxfId="7" priority="7">
      <formula>$M2="AT RISK"</formula>
    </cfRule>
    <cfRule type="expression" dxfId="6" priority="8">
      <formula>$M2="ON TIME"</formula>
    </cfRule>
  </conditionalFormatting>
  <conditionalFormatting sqref="O2:O50">
    <cfRule type="expression" dxfId="5" priority="9">
      <formula>$O2="AT RISK"</formula>
    </cfRule>
    <cfRule type="expression" dxfId="4" priority="10">
      <formula>$O2="WATCH"</formula>
    </cfRule>
    <cfRule type="expression" dxfId="3" priority="11">
      <formula>$O2="STABLE"</formula>
    </cfRule>
  </conditionalFormatting>
  <dataValidations count="5">
    <dataValidation type="list" allowBlank="1" sqref="E2:E50" xr:uid="{00000000-0002-0000-0100-000000000000}">
      <formula1>"Hardware,Software,Network/Connectivity,Account &amp; Access,Email,Printer/Peripheral,Other"</formula1>
      <formula2>0</formula2>
    </dataValidation>
    <dataValidation type="list" allowBlank="1" sqref="F2:F50" xr:uid="{00000000-0002-0000-0100-000001000000}">
      <formula1>"Critical,High,Medium,Low"</formula1>
      <formula2>0</formula2>
    </dataValidation>
    <dataValidation type="list" allowBlank="1" sqref="I2:I50" xr:uid="{00000000-0002-0000-0100-000002000000}">
      <formula1>"Open,In Progress,Resolved"</formula1>
      <formula2>0</formula2>
    </dataValidation>
    <dataValidation type="list" allowBlank="1" sqref="D2:D50" xr:uid="{00000000-0002-0000-0100-000003000000}">
      <formula1>"Software Development,IT Infrastructure &amp; Networks,Cybersecurity,Database Administration,DevOps,Cloud Services,Quality Assurance (QA),Technical Support/Helpdesk,Product Management,Sales,Finance,Human Resources,Marketing,Operations,Executive/Leadership,Othe"</formula1>
      <formula2>0</formula2>
    </dataValidation>
    <dataValidation type="list" allowBlank="1" sqref="H2:H50" xr:uid="{00000000-0002-0000-0100-000004000000}">
      <formula1>"Unassigned,S. Naidoo,K. van Wyk,L. Dlamini,R. Botha,T. Mahlangu,M. Khumalo"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3"/>
  <sheetViews>
    <sheetView showGridLines="0" topLeftCell="A14" zoomScaleNormal="100" workbookViewId="0">
      <selection activeCell="A26" sqref="A26:XFD36"/>
    </sheetView>
  </sheetViews>
  <sheetFormatPr defaultColWidth="8.7109375" defaultRowHeight="15"/>
  <cols>
    <col min="1" max="1" width="2" customWidth="1"/>
    <col min="2" max="2" width="16" customWidth="1"/>
    <col min="3" max="3" width="14" customWidth="1"/>
    <col min="4" max="5" width="12" customWidth="1"/>
  </cols>
  <sheetData>
    <row r="2" spans="2:8" ht="19.5" customHeight="1">
      <c r="B2" s="1" t="s">
        <v>80</v>
      </c>
    </row>
    <row r="3" spans="2:8" ht="15" customHeight="1">
      <c r="B3" s="2" t="s">
        <v>81</v>
      </c>
    </row>
    <row r="5" spans="2:8" ht="15" customHeight="1">
      <c r="B5" s="15" t="s">
        <v>82</v>
      </c>
      <c r="D5" s="16" t="s">
        <v>83</v>
      </c>
      <c r="F5" s="17" t="s">
        <v>84</v>
      </c>
      <c r="H5" s="18" t="s">
        <v>85</v>
      </c>
    </row>
    <row r="6" spans="2:8" ht="24" customHeight="1">
      <c r="B6" s="19">
        <f>COUNTIF(Tickets!I2:I50,"Open")</f>
        <v>1</v>
      </c>
      <c r="D6" s="20">
        <f>COUNTIF(Tickets!I2:I50,"In Progress")</f>
        <v>1</v>
      </c>
      <c r="F6" s="21">
        <f>COUNTIF(Tickets!I2:I50,"Resolved")</f>
        <v>0</v>
      </c>
      <c r="H6" s="22">
        <f>COUNTA(Tickets!A2:A50)-COUNTBLANK(Tickets!B2:B50)</f>
        <v>2</v>
      </c>
    </row>
    <row r="9" spans="2:8" ht="15" customHeight="1">
      <c r="B9" s="17" t="s">
        <v>86</v>
      </c>
      <c r="D9" s="23" t="s">
        <v>53</v>
      </c>
      <c r="F9" s="24" t="s">
        <v>87</v>
      </c>
    </row>
    <row r="10" spans="2:8" ht="24" customHeight="1">
      <c r="B10" s="21">
        <f ca="1">COUNTIF(Tickets!M2:M50,"ON TIME")</f>
        <v>0</v>
      </c>
      <c r="D10" s="25">
        <f ca="1">COUNTIF(Tickets!M2:M50,"AT RISK")</f>
        <v>0</v>
      </c>
      <c r="F10" s="26">
        <f ca="1">COUNTIF(Tickets!M2:M50,"BREACHED")</f>
        <v>2</v>
      </c>
    </row>
    <row r="13" spans="2:8" ht="15" customHeight="1">
      <c r="B13" s="27" t="s">
        <v>88</v>
      </c>
    </row>
    <row r="14" spans="2:8" ht="15" customHeight="1">
      <c r="B14" s="28" t="s">
        <v>89</v>
      </c>
      <c r="C14" s="28" t="s">
        <v>90</v>
      </c>
      <c r="D14" s="28" t="s">
        <v>91</v>
      </c>
    </row>
    <row r="15" spans="2:8" ht="15" customHeight="1">
      <c r="B15" s="29" t="s">
        <v>25</v>
      </c>
      <c r="C15" s="29">
        <f>COUNTIF(Tickets!F2:F50,"Critical")</f>
        <v>1</v>
      </c>
      <c r="D15" s="29">
        <f ca="1">COUNTIFS(Tickets!F2:F50,"Critical",Tickets!M2:M50,"BREACHED")</f>
        <v>1</v>
      </c>
    </row>
    <row r="16" spans="2:8" ht="15" customHeight="1">
      <c r="B16" s="29" t="s">
        <v>27</v>
      </c>
      <c r="C16" s="29">
        <f>COUNTIF(Tickets!F2:F50,"High")</f>
        <v>1</v>
      </c>
      <c r="D16" s="29">
        <f ca="1">COUNTIFS(Tickets!F2:F50,"High",Tickets!M2:M50,"BREACHED")</f>
        <v>1</v>
      </c>
    </row>
    <row r="17" spans="2:4" ht="15" customHeight="1">
      <c r="B17" s="29" t="s">
        <v>29</v>
      </c>
      <c r="C17" s="29">
        <f>COUNTIF(Tickets!F2:F50,"Medium")</f>
        <v>0</v>
      </c>
      <c r="D17" s="29">
        <f>COUNTIFS(Tickets!F2:F50,"Medium",Tickets!M2:M50,"BREACHED")</f>
        <v>0</v>
      </c>
    </row>
    <row r="18" spans="2:4" ht="15" customHeight="1">
      <c r="B18" s="29" t="s">
        <v>31</v>
      </c>
      <c r="C18" s="29">
        <f>COUNTIF(Tickets!F2:F50,"Low")</f>
        <v>0</v>
      </c>
      <c r="D18" s="29">
        <f>COUNTIFS(Tickets!F2:F50,"Low",Tickets!M2:M50,"BREACHED")</f>
        <v>0</v>
      </c>
    </row>
    <row r="19" spans="2:4" ht="15" customHeight="1">
      <c r="B19" t="s">
        <v>92</v>
      </c>
      <c r="C19" t="s">
        <v>93</v>
      </c>
    </row>
    <row r="20" spans="2:4" ht="15" customHeight="1">
      <c r="B20" t="s">
        <v>94</v>
      </c>
      <c r="C20">
        <f ca="1">COUNTIF(Tickets!M2:M50,"ON TIME")</f>
        <v>0</v>
      </c>
    </row>
    <row r="21" spans="2:4" ht="15" customHeight="1">
      <c r="B21" t="s">
        <v>95</v>
      </c>
      <c r="C21">
        <f ca="1">COUNTIF(Tickets!M2:M50,"AT RISK")</f>
        <v>0</v>
      </c>
    </row>
    <row r="22" spans="2:4" ht="15" customHeight="1">
      <c r="B22" t="s">
        <v>91</v>
      </c>
      <c r="C22">
        <f ca="1">COUNTIF(Tickets!M2:M50,"BREACHED")</f>
        <v>2</v>
      </c>
    </row>
    <row r="25" spans="2:4" ht="15" customHeight="1">
      <c r="B25" s="27" t="s">
        <v>96</v>
      </c>
    </row>
    <row r="26" spans="2:4" ht="15" customHeight="1">
      <c r="B26" s="28" t="s">
        <v>61</v>
      </c>
      <c r="C26" s="28" t="s">
        <v>97</v>
      </c>
      <c r="D26" s="28" t="s">
        <v>98</v>
      </c>
    </row>
    <row r="27" spans="2:4" ht="15" customHeight="1">
      <c r="B27" s="29" t="s">
        <v>38</v>
      </c>
      <c r="C27" s="29">
        <f>COUNTIF(Tickets!$E$2:$E$50,"Hardware")</f>
        <v>0</v>
      </c>
      <c r="D27" s="29" t="str">
        <f>IF(C27&gt;=6,"AT RISK",IF(C27&gt;=3,"WATCH","STABLE"))</f>
        <v>STABLE</v>
      </c>
    </row>
    <row r="28" spans="2:4" ht="15" customHeight="1">
      <c r="B28" s="29" t="s">
        <v>40</v>
      </c>
      <c r="C28" s="29">
        <f>COUNTIF(Tickets!$E$2:$E$50,"Software")</f>
        <v>0</v>
      </c>
      <c r="D28" s="29" t="str">
        <f>IF(C28&gt;=6,"AT RISK",IF(C28&gt;=3,"WATCH","STABLE"))</f>
        <v>STABLE</v>
      </c>
    </row>
    <row r="29" spans="2:4" ht="15" customHeight="1">
      <c r="B29" s="29" t="s">
        <v>34</v>
      </c>
      <c r="C29" s="29">
        <f>COUNTIF(Tickets!$E$2:$E$50,"Network/Connectivity")</f>
        <v>1</v>
      </c>
      <c r="D29" s="29" t="str">
        <f>IF(C29&gt;=6,"AT RISK",IF(C29&gt;=3,"WATCH","STABLE"))</f>
        <v>STABLE</v>
      </c>
    </row>
    <row r="30" spans="2:4" ht="15" customHeight="1">
      <c r="B30" s="29" t="s">
        <v>36</v>
      </c>
      <c r="C30" s="29">
        <f>COUNTIF(Tickets!$E$2:$E$50,"Account &amp; Access")</f>
        <v>1</v>
      </c>
      <c r="D30" s="29" t="str">
        <f>IF(C30&gt;=6,"AT RISK",IF(C30&gt;=3,"WATCH","STABLE"))</f>
        <v>STABLE</v>
      </c>
    </row>
    <row r="31" spans="2:4" ht="15" customHeight="1">
      <c r="B31" s="29" t="s">
        <v>42</v>
      </c>
      <c r="C31" s="29">
        <f>COUNTIF(Tickets!$E$2:$E$50,"Email")</f>
        <v>0</v>
      </c>
      <c r="D31" s="29" t="str">
        <f>IF(C31&gt;=6,"AT RISK",IF(C31&gt;=3,"WATCH","STABLE"))</f>
        <v>STABLE</v>
      </c>
    </row>
    <row r="32" spans="2:4" ht="15" customHeight="1">
      <c r="B32" s="29" t="s">
        <v>44</v>
      </c>
      <c r="C32" s="29">
        <f>COUNTIF(Tickets!$E$2:$E$50,"Printer/Peripheral")</f>
        <v>0</v>
      </c>
      <c r="D32" s="29" t="str">
        <f>IF(C32&gt;=6,"AT RISK",IF(C32&gt;=3,"WATCH","STABLE"))</f>
        <v>STABLE</v>
      </c>
    </row>
    <row r="33" spans="2:4" ht="15" customHeight="1">
      <c r="B33" s="29" t="s">
        <v>46</v>
      </c>
      <c r="C33" s="29">
        <f>COUNTIF(Tickets!$E$2:$E$50,"Other")</f>
        <v>0</v>
      </c>
      <c r="D33" s="29" t="str">
        <f>IF(C33&gt;=6,"AT RISK",IF(C33&gt;=3,"WATCH","STABLE"))</f>
        <v>STABLE</v>
      </c>
    </row>
  </sheetData>
  <conditionalFormatting sqref="D27:D33">
    <cfRule type="expression" dxfId="2" priority="2">
      <formula>$D27="AT RISK"</formula>
    </cfRule>
    <cfRule type="expression" dxfId="1" priority="3">
      <formula>$D27="WATCH"</formula>
    </cfRule>
    <cfRule type="expression" dxfId="0" priority="4">
      <formula>$D27="STABLE"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NovaTech GA - Node Volatility Tracker [NVT]</dc:title>
  <dc:subject>IT Service Desk Ticket Logging &amp; SLA Tracking System</dc:subject>
  <dc:creator>NovaTech Solutions (Pty) Ltd</dc:creator>
  <cp:keywords/>
  <dc:description>Internal ticket logging, SLA tracking and category-load monitoring system for NovaTech Solutions (Pty) Ltd IT Service Desk.</dc:description>
  <cp:lastModifiedBy>Nhlakanipho Handsome Nene</cp:lastModifiedBy>
  <cp:revision>11</cp:revision>
  <dcterms:created xsi:type="dcterms:W3CDTF">2026-08-26T06:46:02Z</dcterms:created>
  <dcterms:modified xsi:type="dcterms:W3CDTF">2026-09-02T09:21:48Z</dcterms:modified>
  <cp:category/>
  <cp:contentStatus/>
</cp:coreProperties>
</file>